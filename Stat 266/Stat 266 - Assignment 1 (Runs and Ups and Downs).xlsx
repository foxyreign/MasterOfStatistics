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uyugan\Dropbox\MasterOfStatistics\Stat 266\"/>
    </mc:Choice>
  </mc:AlternateContent>
  <bookViews>
    <workbookView xWindow="0" yWindow="0" windowWidth="20490" windowHeight="7755"/>
  </bookViews>
  <sheets>
    <sheet name="Stat 266 - Assignment 1 (Runs a" sheetId="1" r:id="rId1"/>
  </sheets>
  <calcPr calcId="0"/>
</workbook>
</file>

<file path=xl/calcChain.xml><?xml version="1.0" encoding="utf-8"?>
<calcChain xmlns="http://schemas.openxmlformats.org/spreadsheetml/2006/main">
  <c r="K31" i="1" l="1"/>
  <c r="K30" i="1"/>
  <c r="K26" i="1" l="1"/>
  <c r="K27" i="1"/>
  <c r="P28" i="1"/>
  <c r="K28" i="1"/>
  <c r="K3" i="1"/>
  <c r="K4" i="1"/>
  <c r="K5" i="1"/>
  <c r="K25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P26" i="1"/>
  <c r="G26" i="1"/>
  <c r="G17" i="1" l="1"/>
  <c r="P5" i="1"/>
  <c r="P6" i="1"/>
  <c r="P7" i="1"/>
  <c r="P8" i="1"/>
  <c r="P9" i="1"/>
  <c r="P10" i="1"/>
  <c r="P11" i="1"/>
  <c r="P12" i="1"/>
  <c r="P13" i="1"/>
  <c r="G3" i="1"/>
  <c r="G4" i="1"/>
  <c r="G5" i="1"/>
  <c r="G6" i="1"/>
  <c r="G7" i="1"/>
  <c r="G8" i="1"/>
  <c r="G9" i="1"/>
  <c r="G10" i="1"/>
  <c r="G2" i="1"/>
  <c r="P3" i="1"/>
  <c r="P4" i="1"/>
  <c r="P2" i="1"/>
  <c r="O4" i="1"/>
  <c r="O5" i="1"/>
  <c r="O6" i="1"/>
  <c r="O7" i="1"/>
  <c r="O8" i="1"/>
  <c r="O9" i="1"/>
  <c r="O10" i="1"/>
  <c r="O11" i="1"/>
  <c r="O12" i="1"/>
  <c r="O13" i="1"/>
  <c r="O1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3" i="1"/>
  <c r="F4" i="1"/>
  <c r="F5" i="1"/>
  <c r="F6" i="1"/>
  <c r="F7" i="1"/>
  <c r="F8" i="1"/>
  <c r="F9" i="1"/>
  <c r="F10" i="1"/>
  <c r="F11" i="1"/>
  <c r="F3" i="1"/>
  <c r="G25" i="1" l="1"/>
  <c r="G27" i="1" s="1"/>
  <c r="G16" i="1"/>
  <c r="G19" i="1" s="1"/>
  <c r="P25" i="1"/>
  <c r="P27" i="1" s="1"/>
</calcChain>
</file>

<file path=xl/sharedStrings.xml><?xml version="1.0" encoding="utf-8"?>
<sst xmlns="http://schemas.openxmlformats.org/spreadsheetml/2006/main" count="30" uniqueCount="19">
  <si>
    <t>Date</t>
  </si>
  <si>
    <t>Tickets</t>
  </si>
  <si>
    <t>MTTR</t>
  </si>
  <si>
    <t>Rank 10</t>
  </si>
  <si>
    <t>Diff 10</t>
  </si>
  <si>
    <t>Rank 22</t>
  </si>
  <si>
    <t>Diff 22</t>
  </si>
  <si>
    <t>RVN</t>
  </si>
  <si>
    <t>NM</t>
  </si>
  <si>
    <t>NM 10</t>
  </si>
  <si>
    <t>NM 22</t>
  </si>
  <si>
    <t>A</t>
  </si>
  <si>
    <t>Rank</t>
  </si>
  <si>
    <t>Diif</t>
  </si>
  <si>
    <t>denom</t>
  </si>
  <si>
    <t>var</t>
  </si>
  <si>
    <t>mean</t>
  </si>
  <si>
    <t>sqr var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</si>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</sst>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zoomScale="85" zoomScaleNormal="85" workbookViewId="0">
      <pane ySplit="1" topLeftCell="A7" activePane="bottomLeft" state="frozen"/>
      <selection pane="bottomLeft" activeCell="K32" sqref="K32"/>
    </sheetView>
  </sheetViews>
  <sheetFormatPr defaultRowHeight="15" x14ac:dyDescent="0.25"/>
  <cols>
    <col min="1" max="1" width="9.7109375" bestFit="1" customWidth="1"/>
    <col min="3" max="3" width="10.85546875" bestFit="1" customWidth="1"/>
    <col min="4" max="4" width="2.5703125" customWidth="1"/>
    <col min="5" max="6" width="13.42578125" customWidth="1"/>
    <col min="7" max="7" width="13.42578125" style="1" customWidth="1"/>
    <col min="8" max="8" width="2.5703125" style="1" customWidth="1"/>
    <col min="9" max="11" width="13.42578125" style="1" customWidth="1"/>
    <col min="12" max="12" width="2.140625" customWidth="1"/>
    <col min="13" max="17" width="13.42578125" style="1" customWidth="1"/>
    <col min="18" max="20" width="9.140625" style="1"/>
  </cols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9</v>
      </c>
      <c r="H1" s="3"/>
      <c r="I1" s="3" t="s">
        <v>5</v>
      </c>
      <c r="J1" s="3" t="s">
        <v>6</v>
      </c>
      <c r="K1" s="3" t="s">
        <v>10</v>
      </c>
      <c r="M1" s="3" t="s">
        <v>11</v>
      </c>
      <c r="N1" s="3" t="s">
        <v>12</v>
      </c>
      <c r="O1" s="3" t="s">
        <v>13</v>
      </c>
      <c r="P1" s="3" t="s">
        <v>8</v>
      </c>
      <c r="Q1" s="3"/>
      <c r="R1" s="3"/>
      <c r="S1" s="3"/>
      <c r="T1" s="3"/>
    </row>
    <row r="2" spans="1:20" x14ac:dyDescent="0.25">
      <c r="A2" s="2">
        <v>42065</v>
      </c>
      <c r="B2" s="1">
        <v>3218</v>
      </c>
      <c r="C2" s="1">
        <v>9.4</v>
      </c>
      <c r="D2" s="1"/>
      <c r="E2" s="1">
        <v>3</v>
      </c>
      <c r="F2" s="1"/>
      <c r="G2" s="1">
        <f>(E2-E3)^2</f>
        <v>4</v>
      </c>
      <c r="I2" s="1">
        <v>3</v>
      </c>
      <c r="K2" s="1">
        <f>(I2-I3)^2</f>
        <v>4</v>
      </c>
      <c r="M2" s="1">
        <v>1</v>
      </c>
      <c r="N2" s="1">
        <v>1</v>
      </c>
      <c r="P2" s="1">
        <f>(N2-N3)^2</f>
        <v>1</v>
      </c>
    </row>
    <row r="3" spans="1:20" x14ac:dyDescent="0.25">
      <c r="A3" s="2">
        <v>42066</v>
      </c>
      <c r="B3" s="1">
        <v>2966</v>
      </c>
      <c r="C3" s="1">
        <v>8.6999999999999993</v>
      </c>
      <c r="D3" s="1"/>
      <c r="E3" s="1">
        <v>1</v>
      </c>
      <c r="F3" s="1">
        <f>E3-E2</f>
        <v>-2</v>
      </c>
      <c r="G3" s="1">
        <f t="shared" ref="G3:G11" si="0">(E3-E4)^2</f>
        <v>16</v>
      </c>
      <c r="I3" s="1">
        <v>1</v>
      </c>
      <c r="J3" s="1">
        <f>I3-I2</f>
        <v>-2</v>
      </c>
      <c r="K3" s="1">
        <f t="shared" ref="K3:K23" si="1">(I3-I4)^2</f>
        <v>16</v>
      </c>
      <c r="M3" s="1">
        <v>2</v>
      </c>
      <c r="N3" s="1">
        <v>2</v>
      </c>
      <c r="O3" s="1">
        <f>N3-N2</f>
        <v>1</v>
      </c>
      <c r="P3" s="1">
        <f t="shared" ref="P3:P13" si="2">(N3-N4)^2</f>
        <v>1</v>
      </c>
    </row>
    <row r="4" spans="1:20" x14ac:dyDescent="0.25">
      <c r="A4" s="2">
        <v>42067</v>
      </c>
      <c r="B4" s="1">
        <v>2759</v>
      </c>
      <c r="C4" s="1">
        <v>10.199999999999999</v>
      </c>
      <c r="D4" s="1"/>
      <c r="E4" s="1">
        <v>5</v>
      </c>
      <c r="F4" s="1">
        <f t="shared" ref="F4:F11" si="3">E4-E3</f>
        <v>4</v>
      </c>
      <c r="G4" s="1">
        <f t="shared" si="0"/>
        <v>12.25</v>
      </c>
      <c r="I4" s="1">
        <v>5</v>
      </c>
      <c r="J4" s="1">
        <f t="shared" ref="J4:J23" si="4">I4-I3</f>
        <v>4</v>
      </c>
      <c r="K4" s="1">
        <f t="shared" si="1"/>
        <v>20.25</v>
      </c>
      <c r="M4" s="1">
        <v>3</v>
      </c>
      <c r="N4" s="1">
        <v>3</v>
      </c>
      <c r="O4" s="1">
        <f t="shared" ref="O4:O14" si="5">N4-N3</f>
        <v>1</v>
      </c>
      <c r="P4" s="1">
        <f t="shared" si="2"/>
        <v>1</v>
      </c>
    </row>
    <row r="5" spans="1:20" x14ac:dyDescent="0.25">
      <c r="A5" s="2">
        <v>42068</v>
      </c>
      <c r="B5" s="1">
        <v>2611</v>
      </c>
      <c r="C5" s="1">
        <v>12.6</v>
      </c>
      <c r="D5" s="1"/>
      <c r="E5" s="1">
        <v>8.5</v>
      </c>
      <c r="F5" s="1">
        <f t="shared" si="3"/>
        <v>3.5</v>
      </c>
      <c r="G5" s="1">
        <f t="shared" si="0"/>
        <v>0</v>
      </c>
      <c r="I5" s="1">
        <v>9.5</v>
      </c>
      <c r="J5" s="1">
        <f t="shared" si="4"/>
        <v>4.5</v>
      </c>
      <c r="K5" s="1">
        <f t="shared" si="1"/>
        <v>0</v>
      </c>
      <c r="M5" s="1">
        <v>4</v>
      </c>
      <c r="N5" s="1">
        <v>4</v>
      </c>
      <c r="O5" s="1">
        <f t="shared" si="5"/>
        <v>1</v>
      </c>
      <c r="P5" s="1">
        <f t="shared" si="2"/>
        <v>1</v>
      </c>
    </row>
    <row r="6" spans="1:20" x14ac:dyDescent="0.25">
      <c r="A6" s="2">
        <v>42069</v>
      </c>
      <c r="B6" s="1">
        <v>2355</v>
      </c>
      <c r="C6" s="1">
        <v>12.6</v>
      </c>
      <c r="D6" s="1"/>
      <c r="E6" s="1">
        <v>8.5</v>
      </c>
      <c r="F6" s="1">
        <f t="shared" si="3"/>
        <v>0</v>
      </c>
      <c r="G6" s="1">
        <f t="shared" si="0"/>
        <v>20.25</v>
      </c>
      <c r="I6" s="1">
        <v>9.5</v>
      </c>
      <c r="J6" s="1">
        <f t="shared" si="4"/>
        <v>0</v>
      </c>
      <c r="K6" s="1">
        <f t="shared" si="1"/>
        <v>30.25</v>
      </c>
      <c r="M6" s="1">
        <v>5</v>
      </c>
      <c r="N6" s="1">
        <v>5</v>
      </c>
      <c r="O6" s="1">
        <f t="shared" si="5"/>
        <v>1</v>
      </c>
      <c r="P6" s="1">
        <f t="shared" si="2"/>
        <v>1</v>
      </c>
    </row>
    <row r="7" spans="1:20" x14ac:dyDescent="0.25">
      <c r="A7" s="2">
        <v>42072</v>
      </c>
      <c r="B7" s="1">
        <v>2976</v>
      </c>
      <c r="C7" s="1">
        <v>9.6999999999999993</v>
      </c>
      <c r="D7" s="1"/>
      <c r="E7" s="1">
        <v>4</v>
      </c>
      <c r="F7" s="1">
        <f t="shared" si="3"/>
        <v>-4.5</v>
      </c>
      <c r="G7" s="1">
        <f t="shared" si="0"/>
        <v>4</v>
      </c>
      <c r="I7" s="1">
        <v>4</v>
      </c>
      <c r="J7" s="1">
        <f t="shared" si="4"/>
        <v>-5.5</v>
      </c>
      <c r="K7" s="1">
        <f t="shared" si="1"/>
        <v>4</v>
      </c>
      <c r="M7" s="1">
        <v>6</v>
      </c>
      <c r="N7" s="1">
        <v>6</v>
      </c>
      <c r="O7" s="1">
        <f t="shared" si="5"/>
        <v>1</v>
      </c>
      <c r="P7" s="1">
        <f t="shared" si="2"/>
        <v>1</v>
      </c>
    </row>
    <row r="8" spans="1:20" x14ac:dyDescent="0.25">
      <c r="A8" s="2">
        <v>42073</v>
      </c>
      <c r="B8" s="1">
        <v>2727</v>
      </c>
      <c r="C8" s="1">
        <v>9.1999999999999993</v>
      </c>
      <c r="D8" s="1"/>
      <c r="E8" s="1">
        <v>2</v>
      </c>
      <c r="F8" s="1">
        <f t="shared" si="3"/>
        <v>-2</v>
      </c>
      <c r="G8" s="1">
        <f t="shared" si="0"/>
        <v>16</v>
      </c>
      <c r="I8" s="1">
        <v>2</v>
      </c>
      <c r="J8" s="1">
        <f t="shared" si="4"/>
        <v>-2</v>
      </c>
      <c r="K8" s="1">
        <f t="shared" si="1"/>
        <v>16</v>
      </c>
      <c r="M8" s="1">
        <v>7</v>
      </c>
      <c r="N8" s="1">
        <v>7</v>
      </c>
      <c r="O8" s="1">
        <f t="shared" si="5"/>
        <v>1</v>
      </c>
      <c r="P8" s="1">
        <f t="shared" si="2"/>
        <v>1</v>
      </c>
    </row>
    <row r="9" spans="1:20" x14ac:dyDescent="0.25">
      <c r="A9" s="2">
        <v>42074</v>
      </c>
      <c r="B9" s="1">
        <v>2759</v>
      </c>
      <c r="C9" s="1">
        <v>11.2</v>
      </c>
      <c r="D9" s="1"/>
      <c r="E9" s="1">
        <v>6</v>
      </c>
      <c r="F9" s="1">
        <f t="shared" si="3"/>
        <v>4</v>
      </c>
      <c r="G9" s="1">
        <f t="shared" si="0"/>
        <v>1</v>
      </c>
      <c r="I9" s="1">
        <v>6</v>
      </c>
      <c r="J9" s="1">
        <f t="shared" si="4"/>
        <v>4</v>
      </c>
      <c r="K9" s="1">
        <f t="shared" si="1"/>
        <v>4</v>
      </c>
      <c r="M9" s="1">
        <v>8</v>
      </c>
      <c r="N9" s="1">
        <v>8</v>
      </c>
      <c r="O9" s="1">
        <f t="shared" si="5"/>
        <v>1</v>
      </c>
      <c r="P9" s="1">
        <f t="shared" si="2"/>
        <v>1</v>
      </c>
    </row>
    <row r="10" spans="1:20" x14ac:dyDescent="0.25">
      <c r="A10" s="2">
        <v>42075</v>
      </c>
      <c r="B10" s="1">
        <v>2811</v>
      </c>
      <c r="C10" s="1">
        <v>11.8</v>
      </c>
      <c r="D10" s="1"/>
      <c r="E10" s="1">
        <v>7</v>
      </c>
      <c r="F10" s="1">
        <f t="shared" si="3"/>
        <v>1</v>
      </c>
      <c r="G10" s="1">
        <f t="shared" si="0"/>
        <v>9</v>
      </c>
      <c r="I10" s="1">
        <v>8</v>
      </c>
      <c r="J10" s="1">
        <f t="shared" si="4"/>
        <v>2</v>
      </c>
      <c r="K10" s="1">
        <f t="shared" si="1"/>
        <v>9</v>
      </c>
      <c r="M10" s="1">
        <v>9</v>
      </c>
      <c r="N10" s="1">
        <v>9</v>
      </c>
      <c r="O10" s="1">
        <f t="shared" si="5"/>
        <v>1</v>
      </c>
      <c r="P10" s="1">
        <f t="shared" si="2"/>
        <v>1</v>
      </c>
    </row>
    <row r="11" spans="1:20" x14ac:dyDescent="0.25">
      <c r="A11" s="2">
        <v>42076</v>
      </c>
      <c r="B11" s="1">
        <v>2144</v>
      </c>
      <c r="C11" s="1">
        <v>13.3</v>
      </c>
      <c r="D11" s="1"/>
      <c r="E11" s="1">
        <v>10</v>
      </c>
      <c r="F11" s="1">
        <f t="shared" si="3"/>
        <v>3</v>
      </c>
      <c r="I11" s="1">
        <v>11</v>
      </c>
      <c r="J11" s="1">
        <f t="shared" si="4"/>
        <v>3</v>
      </c>
      <c r="K11" s="1">
        <f t="shared" si="1"/>
        <v>16</v>
      </c>
      <c r="M11" s="1">
        <v>10</v>
      </c>
      <c r="N11" s="1">
        <v>10</v>
      </c>
      <c r="O11" s="1">
        <f t="shared" si="5"/>
        <v>1</v>
      </c>
      <c r="P11" s="1">
        <f t="shared" si="2"/>
        <v>4</v>
      </c>
    </row>
    <row r="12" spans="1:20" x14ac:dyDescent="0.25">
      <c r="A12" s="2">
        <v>42079</v>
      </c>
      <c r="B12" s="1">
        <v>2937</v>
      </c>
      <c r="C12" s="1">
        <v>11.3</v>
      </c>
      <c r="D12" s="1"/>
      <c r="E12" s="1"/>
      <c r="F12" s="1"/>
      <c r="I12" s="1">
        <v>7</v>
      </c>
      <c r="J12" s="1">
        <f t="shared" si="4"/>
        <v>-4</v>
      </c>
      <c r="K12" s="1">
        <f t="shared" si="1"/>
        <v>25</v>
      </c>
      <c r="M12" s="1">
        <v>12</v>
      </c>
      <c r="N12" s="1">
        <v>12</v>
      </c>
      <c r="O12" s="1">
        <f t="shared" si="5"/>
        <v>2</v>
      </c>
      <c r="P12" s="1">
        <f t="shared" si="2"/>
        <v>1</v>
      </c>
    </row>
    <row r="13" spans="1:20" x14ac:dyDescent="0.25">
      <c r="A13" s="2">
        <v>42080</v>
      </c>
      <c r="B13" s="1">
        <v>2853</v>
      </c>
      <c r="C13" s="1">
        <v>13.9</v>
      </c>
      <c r="D13" s="1"/>
      <c r="E13" s="1"/>
      <c r="F13" s="1"/>
      <c r="I13" s="1">
        <v>12</v>
      </c>
      <c r="J13" s="1">
        <f t="shared" si="4"/>
        <v>5</v>
      </c>
      <c r="K13" s="1">
        <f t="shared" si="1"/>
        <v>4</v>
      </c>
      <c r="M13" s="1">
        <v>13</v>
      </c>
      <c r="N13" s="1">
        <v>13</v>
      </c>
      <c r="O13" s="1">
        <f t="shared" si="5"/>
        <v>1</v>
      </c>
      <c r="P13" s="1">
        <f t="shared" si="2"/>
        <v>4</v>
      </c>
    </row>
    <row r="14" spans="1:20" x14ac:dyDescent="0.25">
      <c r="A14" s="2">
        <v>42081</v>
      </c>
      <c r="B14" s="1">
        <v>2656</v>
      </c>
      <c r="C14" s="1">
        <v>15.2</v>
      </c>
      <c r="D14" s="1"/>
      <c r="E14" s="1"/>
      <c r="F14" s="1"/>
      <c r="I14" s="1">
        <v>14</v>
      </c>
      <c r="J14" s="1">
        <f t="shared" si="4"/>
        <v>2</v>
      </c>
      <c r="K14" s="1">
        <f t="shared" si="1"/>
        <v>1</v>
      </c>
      <c r="M14" s="1">
        <v>11</v>
      </c>
      <c r="N14" s="1">
        <v>11</v>
      </c>
      <c r="O14" s="1">
        <f t="shared" si="5"/>
        <v>-2</v>
      </c>
    </row>
    <row r="15" spans="1:20" x14ac:dyDescent="0.25">
      <c r="A15" s="2">
        <v>42082</v>
      </c>
      <c r="B15" s="1">
        <v>2743</v>
      </c>
      <c r="C15" s="1">
        <v>17</v>
      </c>
      <c r="D15" s="1"/>
      <c r="E15" s="1"/>
      <c r="F15" s="1"/>
      <c r="I15" s="1">
        <v>15</v>
      </c>
      <c r="J15" s="1">
        <f t="shared" si="4"/>
        <v>1</v>
      </c>
      <c r="K15" s="1">
        <f t="shared" si="1"/>
        <v>1</v>
      </c>
    </row>
    <row r="16" spans="1:20" x14ac:dyDescent="0.25">
      <c r="A16" s="2">
        <v>42083</v>
      </c>
      <c r="B16" s="1">
        <v>2285</v>
      </c>
      <c r="C16" s="1">
        <v>20.2</v>
      </c>
      <c r="D16" s="1"/>
      <c r="E16" s="1"/>
      <c r="F16" s="1" t="s">
        <v>8</v>
      </c>
      <c r="G16" s="1">
        <f>SUM(G2:G11)</f>
        <v>82.5</v>
      </c>
      <c r="I16" s="1">
        <v>16</v>
      </c>
      <c r="J16" s="1">
        <f t="shared" si="4"/>
        <v>1</v>
      </c>
      <c r="K16" s="1">
        <f t="shared" si="1"/>
        <v>9</v>
      </c>
    </row>
    <row r="17" spans="1:16" x14ac:dyDescent="0.25">
      <c r="A17" s="2">
        <v>42086</v>
      </c>
      <c r="B17" s="1">
        <v>3128</v>
      </c>
      <c r="C17" s="1">
        <v>14.8</v>
      </c>
      <c r="D17" s="1"/>
      <c r="E17" s="1"/>
      <c r="F17" s="1" t="s">
        <v>14</v>
      </c>
      <c r="G17" s="1">
        <f>(10)*((10^2)-1)/(12)</f>
        <v>82.5</v>
      </c>
      <c r="I17" s="1">
        <v>13</v>
      </c>
      <c r="J17" s="1">
        <f t="shared" si="4"/>
        <v>-3</v>
      </c>
      <c r="K17" s="1">
        <f t="shared" si="1"/>
        <v>16</v>
      </c>
    </row>
    <row r="18" spans="1:16" x14ac:dyDescent="0.25">
      <c r="A18" s="2">
        <v>42087</v>
      </c>
      <c r="B18" s="1">
        <v>2752</v>
      </c>
      <c r="C18" s="1">
        <v>21.5</v>
      </c>
      <c r="D18" s="1"/>
      <c r="E18" s="1"/>
      <c r="F18" s="1"/>
      <c r="I18" s="1">
        <v>17</v>
      </c>
      <c r="J18" s="1">
        <f t="shared" si="4"/>
        <v>4</v>
      </c>
      <c r="K18" s="1">
        <f t="shared" si="1"/>
        <v>1</v>
      </c>
    </row>
    <row r="19" spans="1:16" x14ac:dyDescent="0.25">
      <c r="A19" s="2">
        <v>42088</v>
      </c>
      <c r="B19" s="1">
        <v>2638</v>
      </c>
      <c r="C19" s="1">
        <v>22.8</v>
      </c>
      <c r="D19" s="1"/>
      <c r="E19" s="1"/>
      <c r="F19" s="1" t="s">
        <v>7</v>
      </c>
      <c r="G19" s="1">
        <f>G16/G17</f>
        <v>1</v>
      </c>
      <c r="I19" s="1">
        <v>18</v>
      </c>
      <c r="J19" s="1">
        <f t="shared" si="4"/>
        <v>1</v>
      </c>
      <c r="K19" s="1">
        <f t="shared" si="1"/>
        <v>1</v>
      </c>
    </row>
    <row r="20" spans="1:16" x14ac:dyDescent="0.25">
      <c r="A20" s="2">
        <v>42089</v>
      </c>
      <c r="B20" s="1">
        <v>2294</v>
      </c>
      <c r="C20" s="1">
        <v>23.4</v>
      </c>
      <c r="D20" s="1"/>
      <c r="E20" s="1"/>
      <c r="F20" s="1"/>
      <c r="I20" s="1">
        <v>19</v>
      </c>
      <c r="J20" s="1">
        <f t="shared" si="4"/>
        <v>1</v>
      </c>
      <c r="K20" s="1">
        <f t="shared" si="1"/>
        <v>1</v>
      </c>
    </row>
    <row r="21" spans="1:16" x14ac:dyDescent="0.25">
      <c r="A21" s="2">
        <v>42090</v>
      </c>
      <c r="B21" s="1">
        <v>1912</v>
      </c>
      <c r="C21" s="1">
        <v>24.6</v>
      </c>
      <c r="D21" s="1"/>
      <c r="E21" s="1"/>
      <c r="F21" s="1"/>
      <c r="I21" s="1">
        <v>20</v>
      </c>
      <c r="J21" s="1">
        <f t="shared" si="4"/>
        <v>1</v>
      </c>
      <c r="K21" s="1">
        <f t="shared" si="1"/>
        <v>1</v>
      </c>
    </row>
    <row r="22" spans="1:16" x14ac:dyDescent="0.25">
      <c r="A22" s="2">
        <v>42093</v>
      </c>
      <c r="B22" s="1">
        <v>2925</v>
      </c>
      <c r="C22" s="1">
        <v>28.8</v>
      </c>
      <c r="D22" s="1"/>
      <c r="E22" s="1"/>
      <c r="F22" s="1"/>
      <c r="I22" s="1">
        <v>21</v>
      </c>
      <c r="J22" s="1">
        <f t="shared" si="4"/>
        <v>1</v>
      </c>
      <c r="K22" s="1">
        <f t="shared" si="1"/>
        <v>1</v>
      </c>
    </row>
    <row r="23" spans="1:16" x14ac:dyDescent="0.25">
      <c r="A23" s="2">
        <v>42094</v>
      </c>
      <c r="B23" s="1">
        <v>2726</v>
      </c>
      <c r="C23" s="1">
        <v>39.4</v>
      </c>
      <c r="D23" s="1"/>
      <c r="E23" s="1"/>
      <c r="F23" s="1"/>
      <c r="I23" s="1">
        <v>22</v>
      </c>
      <c r="J23" s="1">
        <f t="shared" si="4"/>
        <v>1</v>
      </c>
    </row>
    <row r="25" spans="1:16" x14ac:dyDescent="0.25">
      <c r="F25" s="1" t="s">
        <v>8</v>
      </c>
      <c r="G25" s="1">
        <f>SUM(G2:G11)</f>
        <v>82.5</v>
      </c>
      <c r="J25" s="1" t="s">
        <v>8</v>
      </c>
      <c r="K25" s="1">
        <f>SUM(K2:K23)</f>
        <v>180.5</v>
      </c>
      <c r="O25" s="1" t="s">
        <v>8</v>
      </c>
      <c r="P25" s="1">
        <f>SUM(P2:P14)</f>
        <v>18</v>
      </c>
    </row>
    <row r="26" spans="1:16" x14ac:dyDescent="0.25">
      <c r="F26" s="1" t="s">
        <v>14</v>
      </c>
      <c r="G26" s="1">
        <f>(10)*((10^2)-1)/(12)</f>
        <v>82.5</v>
      </c>
      <c r="J26" s="1" t="s">
        <v>14</v>
      </c>
      <c r="K26" s="1">
        <f>(10)*((10^2)-1)/(12)</f>
        <v>82.5</v>
      </c>
      <c r="O26" s="1" t="s">
        <v>14</v>
      </c>
      <c r="P26" s="1">
        <f>(13)*((13^2)-1)/(12)</f>
        <v>182</v>
      </c>
    </row>
    <row r="27" spans="1:16" x14ac:dyDescent="0.25">
      <c r="F27" s="1" t="s">
        <v>7</v>
      </c>
      <c r="G27" s="1">
        <f>G25/G26</f>
        <v>1</v>
      </c>
      <c r="J27" s="1" t="s">
        <v>7</v>
      </c>
      <c r="K27" s="1">
        <f>K25/K26</f>
        <v>2.187878787878788</v>
      </c>
      <c r="O27" s="1" t="s">
        <v>7</v>
      </c>
      <c r="P27" s="1">
        <f>P25/P26</f>
        <v>9.8901098901098897E-2</v>
      </c>
    </row>
    <row r="28" spans="1:16" x14ac:dyDescent="0.25">
      <c r="J28" s="1" t="s">
        <v>15</v>
      </c>
      <c r="K28" s="1">
        <f>(4*(22-2)*(5*22^2-2*22-9))/((5*22)*(22+1)*(22-1)^2)</f>
        <v>0.16971848027748648</v>
      </c>
      <c r="O28" s="1" t="s">
        <v>15</v>
      </c>
      <c r="P28" s="1">
        <f>(4*(13-2)*(5*13^2-2*13-9))/((5*13)*(13+1)*(13-1)^2)</f>
        <v>0.27197802197802196</v>
      </c>
    </row>
    <row r="29" spans="1:16" x14ac:dyDescent="0.25">
      <c r="J29" s="1" t="s">
        <v>16</v>
      </c>
      <c r="K29" s="1">
        <v>2</v>
      </c>
    </row>
    <row r="30" spans="1:16" x14ac:dyDescent="0.25">
      <c r="J30" s="1" t="s">
        <v>17</v>
      </c>
      <c r="K30" s="1">
        <f>SQRT(K28)</f>
        <v>0.41196902829883519</v>
      </c>
    </row>
    <row r="31" spans="1:16" x14ac:dyDescent="0.25">
      <c r="J31" s="1" t="s">
        <v>18</v>
      </c>
      <c r="K31" s="1">
        <f>2-K27/K30</f>
        <v>-3.3107846405670545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 266 - Assignment 1 (Runs 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Acuyugan</dc:creator>
  <cp:lastModifiedBy>Acuyugan</cp:lastModifiedBy>
  <dcterms:created xsi:type="dcterms:W3CDTF">2015-09-01T15:12:20Z</dcterms:created>
  <dcterms:modified xsi:type="dcterms:W3CDTF">2015-09-01T21:34:33Z</dcterms:modified>
</cp:coreProperties>
</file>