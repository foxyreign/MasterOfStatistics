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uyugan\Dropbox\MasterOfStatistics\Stat 266\"/>
    </mc:Choice>
  </mc:AlternateContent>
  <bookViews>
    <workbookView xWindow="0" yWindow="0" windowWidth="20490" windowHeight="9045" activeTab="1"/>
  </bookViews>
  <sheets>
    <sheet name="Prop" sheetId="1" r:id="rId1"/>
    <sheet name="CDF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C2" i="2"/>
  <c r="J11" i="2" l="1"/>
  <c r="F11" i="2"/>
  <c r="H11" i="2" s="1"/>
  <c r="C11" i="2"/>
  <c r="I11" i="2" s="1"/>
  <c r="J10" i="2"/>
  <c r="I10" i="2"/>
  <c r="E10" i="2"/>
  <c r="G10" i="2" s="1"/>
  <c r="C10" i="2"/>
  <c r="C9" i="2"/>
  <c r="J9" i="2" s="1"/>
  <c r="J8" i="2"/>
  <c r="J7" i="2"/>
  <c r="C7" i="2"/>
  <c r="F8" i="2" s="1"/>
  <c r="H8" i="2" s="1"/>
  <c r="J6" i="2"/>
  <c r="I6" i="2"/>
  <c r="C6" i="2"/>
  <c r="F7" i="2" s="1"/>
  <c r="H7" i="2" s="1"/>
  <c r="C5" i="2"/>
  <c r="J5" i="2" s="1"/>
  <c r="C4" i="2"/>
  <c r="J4" i="2" s="1"/>
  <c r="F3" i="2"/>
  <c r="H3" i="2" s="1"/>
  <c r="C3" i="2"/>
  <c r="F4" i="2" s="1"/>
  <c r="H4" i="2" s="1"/>
  <c r="J2" i="2"/>
  <c r="I2" i="2"/>
  <c r="F2" i="2"/>
  <c r="H2" i="2" s="1"/>
  <c r="E2" i="2"/>
  <c r="G2" i="2" s="1"/>
  <c r="J3" i="2" l="1"/>
  <c r="E6" i="2"/>
  <c r="G6" i="2" s="1"/>
  <c r="E5" i="2"/>
  <c r="G5" i="2" s="1"/>
  <c r="I5" i="2"/>
  <c r="F6" i="2"/>
  <c r="H6" i="2" s="1"/>
  <c r="E9" i="2"/>
  <c r="G9" i="2" s="1"/>
  <c r="I9" i="2"/>
  <c r="F10" i="2"/>
  <c r="H10" i="2" s="1"/>
  <c r="E4" i="2"/>
  <c r="G4" i="2" s="1"/>
  <c r="I4" i="2"/>
  <c r="F5" i="2"/>
  <c r="H5" i="2" s="1"/>
  <c r="E8" i="2"/>
  <c r="G8" i="2" s="1"/>
  <c r="I8" i="2"/>
  <c r="F9" i="2"/>
  <c r="H9" i="2" s="1"/>
  <c r="E3" i="2"/>
  <c r="G3" i="2" s="1"/>
  <c r="I3" i="2"/>
  <c r="E7" i="2"/>
  <c r="G7" i="2" s="1"/>
  <c r="I7" i="2"/>
  <c r="E11" i="2"/>
  <c r="G11" i="2" s="1"/>
  <c r="I3" i="1"/>
  <c r="I4" i="1"/>
  <c r="I5" i="1"/>
  <c r="I6" i="1"/>
  <c r="I7" i="1"/>
  <c r="I8" i="1"/>
  <c r="I9" i="1"/>
  <c r="I10" i="1"/>
  <c r="I11" i="1"/>
  <c r="I2" i="1"/>
  <c r="J3" i="1"/>
  <c r="J4" i="1"/>
  <c r="J5" i="1"/>
  <c r="J6" i="1"/>
  <c r="J7" i="1"/>
  <c r="J8" i="1"/>
  <c r="J9" i="1"/>
  <c r="J10" i="1"/>
  <c r="J11" i="1"/>
  <c r="J2" i="1"/>
  <c r="L11" i="1" l="1"/>
  <c r="L10" i="1"/>
  <c r="L9" i="1"/>
  <c r="L8" i="1"/>
  <c r="L7" i="1"/>
  <c r="L6" i="1"/>
  <c r="L5" i="1"/>
  <c r="L4" i="1"/>
  <c r="L3" i="1"/>
  <c r="L2" i="1"/>
  <c r="D3" i="1" l="1"/>
  <c r="D4" i="1"/>
  <c r="D5" i="1"/>
  <c r="D6" i="1"/>
  <c r="D7" i="1"/>
  <c r="D8" i="1"/>
  <c r="D9" i="1"/>
  <c r="D10" i="1"/>
  <c r="D11" i="1"/>
  <c r="D2" i="1"/>
  <c r="F2" i="1" l="1"/>
  <c r="H2" i="1" s="1"/>
  <c r="F11" i="1"/>
  <c r="H11" i="1" s="1"/>
  <c r="E5" i="1"/>
  <c r="G5" i="1" s="1"/>
  <c r="E10" i="1"/>
  <c r="G10" i="1" s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13" i="1"/>
  <c r="F13" i="1" s="1"/>
  <c r="H13" i="1" s="1"/>
  <c r="C14" i="1"/>
  <c r="C15" i="1"/>
  <c r="F16" i="1" s="1"/>
  <c r="H16" i="1" s="1"/>
  <c r="C16" i="1"/>
  <c r="F17" i="1" s="1"/>
  <c r="H17" i="1" s="1"/>
  <c r="C17" i="1"/>
  <c r="C18" i="1"/>
  <c r="C19" i="1"/>
  <c r="F20" i="1" s="1"/>
  <c r="H20" i="1" s="1"/>
  <c r="C20" i="1"/>
  <c r="F21" i="1" s="1"/>
  <c r="H21" i="1" s="1"/>
  <c r="C21" i="1"/>
  <c r="C22" i="1"/>
  <c r="F23" i="1" s="1"/>
  <c r="H23" i="1" s="1"/>
  <c r="C23" i="1"/>
  <c r="F24" i="1" s="1"/>
  <c r="H24" i="1" s="1"/>
  <c r="C24" i="1"/>
  <c r="F25" i="1" s="1"/>
  <c r="H25" i="1" s="1"/>
  <c r="C25" i="1"/>
  <c r="C26" i="1"/>
  <c r="F27" i="1" s="1"/>
  <c r="H27" i="1" s="1"/>
  <c r="C27" i="1"/>
  <c r="F28" i="1" s="1"/>
  <c r="H28" i="1" s="1"/>
  <c r="C28" i="1"/>
  <c r="F29" i="1" s="1"/>
  <c r="H29" i="1" s="1"/>
  <c r="C29" i="1"/>
  <c r="C30" i="1"/>
  <c r="F31" i="1" s="1"/>
  <c r="H31" i="1" s="1"/>
  <c r="C31" i="1"/>
  <c r="F32" i="1" s="1"/>
  <c r="H32" i="1" s="1"/>
  <c r="C32" i="1"/>
  <c r="E32" i="1" s="1"/>
  <c r="G32" i="1" s="1"/>
  <c r="C13" i="1"/>
  <c r="E4" i="1"/>
  <c r="G4" i="1" s="1"/>
  <c r="E9" i="1"/>
  <c r="G9" i="1" s="1"/>
  <c r="C3" i="1"/>
  <c r="F4" i="1" s="1"/>
  <c r="H4" i="1" s="1"/>
  <c r="C4" i="1"/>
  <c r="F5" i="1" s="1"/>
  <c r="H5" i="1" s="1"/>
  <c r="C5" i="1"/>
  <c r="C6" i="1"/>
  <c r="E6" i="1" s="1"/>
  <c r="G6" i="1" s="1"/>
  <c r="C7" i="1"/>
  <c r="F8" i="1" s="1"/>
  <c r="H8" i="1" s="1"/>
  <c r="C8" i="1"/>
  <c r="C9" i="1"/>
  <c r="C10" i="1"/>
  <c r="C11" i="1"/>
  <c r="C2" i="1"/>
  <c r="F3" i="1" s="1"/>
  <c r="H3" i="1" s="1"/>
  <c r="F19" i="1" l="1"/>
  <c r="H19" i="1" s="1"/>
  <c r="E18" i="1"/>
  <c r="G18" i="1" s="1"/>
  <c r="F15" i="1"/>
  <c r="H15" i="1" s="1"/>
  <c r="E14" i="1"/>
  <c r="G14" i="1" s="1"/>
  <c r="E8" i="1"/>
  <c r="G8" i="1" s="1"/>
  <c r="F9" i="1"/>
  <c r="H9" i="1" s="1"/>
  <c r="F14" i="1"/>
  <c r="H14" i="1" s="1"/>
  <c r="F30" i="1"/>
  <c r="H30" i="1" s="1"/>
  <c r="F26" i="1"/>
  <c r="H26" i="1" s="1"/>
  <c r="F22" i="1"/>
  <c r="H22" i="1" s="1"/>
  <c r="F18" i="1"/>
  <c r="H18" i="1" s="1"/>
  <c r="E30" i="1"/>
  <c r="G30" i="1" s="1"/>
  <c r="E26" i="1"/>
  <c r="G26" i="1" s="1"/>
  <c r="E22" i="1"/>
  <c r="G22" i="1" s="1"/>
  <c r="E13" i="1"/>
  <c r="G13" i="1" s="1"/>
  <c r="E29" i="1"/>
  <c r="G29" i="1" s="1"/>
  <c r="E25" i="1"/>
  <c r="G25" i="1" s="1"/>
  <c r="E21" i="1"/>
  <c r="G21" i="1" s="1"/>
  <c r="E17" i="1"/>
  <c r="G17" i="1" s="1"/>
  <c r="E28" i="1"/>
  <c r="G28" i="1" s="1"/>
  <c r="E24" i="1"/>
  <c r="G24" i="1" s="1"/>
  <c r="E20" i="1"/>
  <c r="G20" i="1" s="1"/>
  <c r="E16" i="1"/>
  <c r="G16" i="1" s="1"/>
  <c r="F7" i="1"/>
  <c r="H7" i="1" s="1"/>
  <c r="E31" i="1"/>
  <c r="G31" i="1" s="1"/>
  <c r="E27" i="1"/>
  <c r="G27" i="1" s="1"/>
  <c r="E23" i="1"/>
  <c r="G23" i="1" s="1"/>
  <c r="E19" i="1"/>
  <c r="G19" i="1" s="1"/>
  <c r="E15" i="1"/>
  <c r="G15" i="1" s="1"/>
  <c r="E7" i="1"/>
  <c r="G7" i="1" s="1"/>
  <c r="E3" i="1"/>
  <c r="G3" i="1" s="1"/>
  <c r="E11" i="1"/>
  <c r="G11" i="1" s="1"/>
  <c r="F10" i="1"/>
  <c r="H10" i="1" s="1"/>
  <c r="F6" i="1"/>
  <c r="H6" i="1" s="1"/>
  <c r="E2" i="1"/>
  <c r="G2" i="1" s="1"/>
</calcChain>
</file>

<file path=xl/sharedStrings.xml><?xml version="1.0" encoding="utf-8"?>
<sst xmlns="http://schemas.openxmlformats.org/spreadsheetml/2006/main" count="22" uniqueCount="12">
  <si>
    <t>x</t>
  </si>
  <si>
    <t>Sn(x)</t>
  </si>
  <si>
    <t>F0(x)</t>
  </si>
  <si>
    <t>Sn(x)-F0(x)</t>
  </si>
  <si>
    <t>Sn(x-e)-Fo(x)</t>
  </si>
  <si>
    <t>i</t>
  </si>
  <si>
    <t>|Sn(x)-F0(x)|</t>
  </si>
  <si>
    <t>|Sn(x-e)-Fo(x)|</t>
  </si>
  <si>
    <t>Observed</t>
  </si>
  <si>
    <t>Hypothesized</t>
  </si>
  <si>
    <t>Ln(x)</t>
  </si>
  <si>
    <t>Un(x)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</si>
</sst>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D2" sqref="D2:D11"/>
    </sheetView>
  </sheetViews>
  <sheetFormatPr defaultRowHeight="12" x14ac:dyDescent="0.25"/>
  <cols>
    <col min="1" max="11" width="13.140625" style="1" customWidth="1"/>
    <col min="12" max="13" width="11.7109375" style="1" customWidth="1"/>
    <col min="14" max="16384" width="9.140625" style="1"/>
  </cols>
  <sheetData>
    <row r="1" spans="1:13" s="2" customFormat="1" ht="28.5" customHeight="1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10</v>
      </c>
      <c r="J1" s="2" t="s">
        <v>11</v>
      </c>
      <c r="L1" s="2" t="s">
        <v>9</v>
      </c>
      <c r="M1" s="2" t="s">
        <v>8</v>
      </c>
    </row>
    <row r="2" spans="1:13" ht="28.5" customHeight="1" x14ac:dyDescent="0.25">
      <c r="A2" s="1">
        <v>1</v>
      </c>
      <c r="B2" s="1">
        <v>40</v>
      </c>
      <c r="C2" s="4">
        <f>A2/MAX($A$2:$A$11)</f>
        <v>0.1</v>
      </c>
      <c r="D2" s="4">
        <f>B2/100</f>
        <v>0.4</v>
      </c>
      <c r="E2" s="4">
        <f>C2-D2</f>
        <v>-0.30000000000000004</v>
      </c>
      <c r="F2" s="4">
        <f>0-D2</f>
        <v>-0.4</v>
      </c>
      <c r="G2" s="4">
        <f>ABS(E2)</f>
        <v>0.30000000000000004</v>
      </c>
      <c r="H2" s="4">
        <f>ABS(F2)</f>
        <v>0.4</v>
      </c>
      <c r="I2" s="4">
        <f>IF(C2-0.409&lt;=0,0,C2-0.409)</f>
        <v>0</v>
      </c>
      <c r="J2" s="4">
        <f>IF(C2+0.409&gt;=1,1,C2+0.409)</f>
        <v>0.50900000000000001</v>
      </c>
      <c r="L2" s="1">
        <f>D2^2*(3-2*D2)</f>
        <v>0.35200000000000009</v>
      </c>
      <c r="M2" s="1">
        <v>0.4</v>
      </c>
    </row>
    <row r="3" spans="1:13" ht="28.5" customHeight="1" x14ac:dyDescent="0.25">
      <c r="A3" s="1">
        <v>2</v>
      </c>
      <c r="B3" s="1">
        <v>50</v>
      </c>
      <c r="C3" s="4">
        <f t="shared" ref="C3:C11" si="0">A3/MAX($A$2:$A$11)</f>
        <v>0.2</v>
      </c>
      <c r="D3" s="4">
        <f t="shared" ref="D3:D11" si="1">B3/100</f>
        <v>0.5</v>
      </c>
      <c r="E3" s="4">
        <f t="shared" ref="E3:E11" si="2">C3-D3</f>
        <v>-0.3</v>
      </c>
      <c r="F3" s="4">
        <f>C2-D3</f>
        <v>-0.4</v>
      </c>
      <c r="G3" s="4">
        <f t="shared" ref="G3:G11" si="3">ABS(E3)</f>
        <v>0.3</v>
      </c>
      <c r="H3" s="4">
        <f t="shared" ref="H3:H11" si="4">ABS(F3)</f>
        <v>0.4</v>
      </c>
      <c r="I3" s="4">
        <f t="shared" ref="I3:I11" si="5">IF(C3-0.409&lt;=0,0,C3-0.409)</f>
        <v>0</v>
      </c>
      <c r="J3" s="4">
        <f t="shared" ref="J3:J11" si="6">IF(C3+0.409&gt;=1,1,C3+0.409)</f>
        <v>0.60899999999999999</v>
      </c>
      <c r="L3" s="1">
        <f t="shared" ref="L3:L11" si="7">D3^2*(3-2*D3)</f>
        <v>0.5</v>
      </c>
      <c r="M3" s="1">
        <v>0.5</v>
      </c>
    </row>
    <row r="4" spans="1:13" ht="28.5" customHeight="1" x14ac:dyDescent="0.25">
      <c r="A4" s="1">
        <v>3</v>
      </c>
      <c r="B4" s="1">
        <v>52</v>
      </c>
      <c r="C4" s="4">
        <f t="shared" si="0"/>
        <v>0.3</v>
      </c>
      <c r="D4" s="4">
        <f t="shared" si="1"/>
        <v>0.52</v>
      </c>
      <c r="E4" s="4">
        <f t="shared" si="2"/>
        <v>-0.22000000000000003</v>
      </c>
      <c r="F4" s="4">
        <f t="shared" ref="F4:F11" si="8">C3-D4</f>
        <v>-0.32</v>
      </c>
      <c r="G4" s="4">
        <f t="shared" si="3"/>
        <v>0.22000000000000003</v>
      </c>
      <c r="H4" s="4">
        <f t="shared" si="4"/>
        <v>0.32</v>
      </c>
      <c r="I4" s="4">
        <f t="shared" si="5"/>
        <v>0</v>
      </c>
      <c r="J4" s="4">
        <f t="shared" si="6"/>
        <v>0.70899999999999996</v>
      </c>
      <c r="L4" s="1">
        <f t="shared" si="7"/>
        <v>0.52998400000000001</v>
      </c>
      <c r="M4" s="1">
        <v>0.52</v>
      </c>
    </row>
    <row r="5" spans="1:13" ht="28.5" customHeight="1" x14ac:dyDescent="0.25">
      <c r="A5" s="1">
        <v>4</v>
      </c>
      <c r="B5" s="1">
        <v>58</v>
      </c>
      <c r="C5" s="4">
        <f t="shared" si="0"/>
        <v>0.4</v>
      </c>
      <c r="D5" s="4">
        <f t="shared" si="1"/>
        <v>0.57999999999999996</v>
      </c>
      <c r="E5" s="4">
        <f t="shared" si="2"/>
        <v>-0.17999999999999994</v>
      </c>
      <c r="F5" s="4">
        <f t="shared" si="8"/>
        <v>-0.27999999999999997</v>
      </c>
      <c r="G5" s="4">
        <f t="shared" si="3"/>
        <v>0.17999999999999994</v>
      </c>
      <c r="H5" s="4">
        <f t="shared" si="4"/>
        <v>0.27999999999999997</v>
      </c>
      <c r="I5" s="4">
        <f t="shared" si="5"/>
        <v>0</v>
      </c>
      <c r="J5" s="4">
        <f t="shared" si="6"/>
        <v>0.80899999999999994</v>
      </c>
      <c r="L5" s="1">
        <f t="shared" si="7"/>
        <v>0.61897599999999997</v>
      </c>
      <c r="M5" s="1">
        <v>0.57999999999999996</v>
      </c>
    </row>
    <row r="6" spans="1:13" ht="28.5" customHeight="1" x14ac:dyDescent="0.25">
      <c r="A6" s="1">
        <v>5</v>
      </c>
      <c r="B6" s="1">
        <v>60</v>
      </c>
      <c r="C6" s="4">
        <f t="shared" si="0"/>
        <v>0.5</v>
      </c>
      <c r="D6" s="4">
        <f t="shared" si="1"/>
        <v>0.6</v>
      </c>
      <c r="E6" s="4">
        <f t="shared" si="2"/>
        <v>-9.9999999999999978E-2</v>
      </c>
      <c r="F6" s="4">
        <f t="shared" si="8"/>
        <v>-0.19999999999999996</v>
      </c>
      <c r="G6" s="4">
        <f t="shared" si="3"/>
        <v>9.9999999999999978E-2</v>
      </c>
      <c r="H6" s="4">
        <f t="shared" si="4"/>
        <v>0.19999999999999996</v>
      </c>
      <c r="I6" s="4">
        <f t="shared" si="5"/>
        <v>9.1000000000000025E-2</v>
      </c>
      <c r="J6" s="4">
        <f t="shared" si="6"/>
        <v>0.90900000000000003</v>
      </c>
      <c r="L6" s="1">
        <f t="shared" si="7"/>
        <v>0.64800000000000002</v>
      </c>
      <c r="M6" s="1">
        <v>0.6</v>
      </c>
    </row>
    <row r="7" spans="1:13" ht="28.5" customHeight="1" x14ac:dyDescent="0.25">
      <c r="A7" s="1">
        <v>6</v>
      </c>
      <c r="B7" s="1">
        <v>65</v>
      </c>
      <c r="C7" s="4">
        <f t="shared" si="0"/>
        <v>0.6</v>
      </c>
      <c r="D7" s="4">
        <f t="shared" si="1"/>
        <v>0.65</v>
      </c>
      <c r="E7" s="4">
        <f t="shared" si="2"/>
        <v>-5.0000000000000044E-2</v>
      </c>
      <c r="F7" s="4">
        <f t="shared" si="8"/>
        <v>-0.15000000000000002</v>
      </c>
      <c r="G7" s="4">
        <f t="shared" si="3"/>
        <v>5.0000000000000044E-2</v>
      </c>
      <c r="H7" s="4">
        <f t="shared" si="4"/>
        <v>0.15000000000000002</v>
      </c>
      <c r="I7" s="4">
        <f t="shared" si="5"/>
        <v>0.191</v>
      </c>
      <c r="J7" s="4">
        <f t="shared" si="6"/>
        <v>1</v>
      </c>
      <c r="L7" s="1">
        <f t="shared" si="7"/>
        <v>0.71825000000000006</v>
      </c>
      <c r="M7" s="1">
        <v>0.65</v>
      </c>
    </row>
    <row r="8" spans="1:13" ht="28.5" customHeight="1" x14ac:dyDescent="0.25">
      <c r="A8" s="1">
        <v>7</v>
      </c>
      <c r="B8" s="1">
        <v>80</v>
      </c>
      <c r="C8" s="4">
        <f t="shared" si="0"/>
        <v>0.7</v>
      </c>
      <c r="D8" s="4">
        <f t="shared" si="1"/>
        <v>0.8</v>
      </c>
      <c r="E8" s="4">
        <f t="shared" si="2"/>
        <v>-0.10000000000000009</v>
      </c>
      <c r="F8" s="4">
        <f t="shared" si="8"/>
        <v>-0.20000000000000007</v>
      </c>
      <c r="G8" s="4">
        <f t="shared" si="3"/>
        <v>0.10000000000000009</v>
      </c>
      <c r="H8" s="4">
        <f t="shared" si="4"/>
        <v>0.20000000000000007</v>
      </c>
      <c r="I8" s="4">
        <f t="shared" si="5"/>
        <v>0.29099999999999998</v>
      </c>
      <c r="J8" s="4">
        <f t="shared" si="6"/>
        <v>1</v>
      </c>
      <c r="L8" s="1">
        <f t="shared" si="7"/>
        <v>0.89600000000000013</v>
      </c>
      <c r="M8" s="1">
        <v>0.8</v>
      </c>
    </row>
    <row r="9" spans="1:13" ht="28.5" customHeight="1" x14ac:dyDescent="0.25">
      <c r="A9" s="1">
        <v>8</v>
      </c>
      <c r="B9" s="1">
        <v>80</v>
      </c>
      <c r="C9" s="4">
        <f t="shared" si="0"/>
        <v>0.8</v>
      </c>
      <c r="D9" s="4">
        <f t="shared" si="1"/>
        <v>0.8</v>
      </c>
      <c r="E9" s="4">
        <f t="shared" si="2"/>
        <v>0</v>
      </c>
      <c r="F9" s="4">
        <f t="shared" si="8"/>
        <v>-0.10000000000000009</v>
      </c>
      <c r="G9" s="4">
        <f t="shared" si="3"/>
        <v>0</v>
      </c>
      <c r="H9" s="4">
        <f t="shared" si="4"/>
        <v>0.10000000000000009</v>
      </c>
      <c r="I9" s="4">
        <f t="shared" si="5"/>
        <v>0.39100000000000007</v>
      </c>
      <c r="J9" s="4">
        <f t="shared" si="6"/>
        <v>1</v>
      </c>
      <c r="L9" s="1">
        <f t="shared" si="7"/>
        <v>0.89600000000000013</v>
      </c>
      <c r="M9" s="1">
        <v>0.8</v>
      </c>
    </row>
    <row r="10" spans="1:13" ht="28.5" customHeight="1" x14ac:dyDescent="0.25">
      <c r="A10" s="1">
        <v>9</v>
      </c>
      <c r="B10" s="1">
        <v>82</v>
      </c>
      <c r="C10" s="4">
        <f t="shared" si="0"/>
        <v>0.9</v>
      </c>
      <c r="D10" s="4">
        <f t="shared" si="1"/>
        <v>0.82</v>
      </c>
      <c r="E10" s="4">
        <f t="shared" si="2"/>
        <v>8.0000000000000071E-2</v>
      </c>
      <c r="F10" s="4">
        <f t="shared" si="8"/>
        <v>-1.9999999999999907E-2</v>
      </c>
      <c r="G10" s="4">
        <f t="shared" si="3"/>
        <v>8.0000000000000071E-2</v>
      </c>
      <c r="H10" s="4">
        <f t="shared" si="4"/>
        <v>1.9999999999999907E-2</v>
      </c>
      <c r="I10" s="4">
        <f t="shared" si="5"/>
        <v>0.49100000000000005</v>
      </c>
      <c r="J10" s="4">
        <f t="shared" si="6"/>
        <v>1</v>
      </c>
      <c r="L10" s="1">
        <f t="shared" si="7"/>
        <v>0.91446399999999994</v>
      </c>
      <c r="M10" s="1">
        <v>0.82</v>
      </c>
    </row>
    <row r="11" spans="1:13" ht="28.5" customHeight="1" x14ac:dyDescent="0.25">
      <c r="A11" s="1">
        <v>10</v>
      </c>
      <c r="B11" s="1">
        <v>95</v>
      </c>
      <c r="C11" s="4">
        <f t="shared" si="0"/>
        <v>1</v>
      </c>
      <c r="D11" s="4">
        <f t="shared" si="1"/>
        <v>0.95</v>
      </c>
      <c r="E11" s="4">
        <f t="shared" si="2"/>
        <v>5.0000000000000044E-2</v>
      </c>
      <c r="F11" s="4">
        <f t="shared" si="8"/>
        <v>-4.9999999999999933E-2</v>
      </c>
      <c r="G11" s="4">
        <f t="shared" si="3"/>
        <v>5.0000000000000044E-2</v>
      </c>
      <c r="H11" s="4">
        <f t="shared" si="4"/>
        <v>4.9999999999999933E-2</v>
      </c>
      <c r="I11" s="4">
        <f t="shared" si="5"/>
        <v>0.59099999999999997</v>
      </c>
      <c r="J11" s="4">
        <f t="shared" si="6"/>
        <v>1</v>
      </c>
      <c r="L11" s="1">
        <f t="shared" si="7"/>
        <v>0.99275000000000002</v>
      </c>
      <c r="M11" s="1">
        <v>0.95</v>
      </c>
    </row>
    <row r="12" spans="1:13" x14ac:dyDescent="0.25">
      <c r="I12" s="3"/>
      <c r="J12" s="3"/>
    </row>
    <row r="13" spans="1:13" x14ac:dyDescent="0.25">
      <c r="A13" s="1">
        <v>1</v>
      </c>
      <c r="B13" s="1">
        <v>0.11</v>
      </c>
      <c r="C13" s="1">
        <f>A13/MAX($A$13:$A$32)</f>
        <v>0.05</v>
      </c>
      <c r="D13" s="1">
        <f>B13</f>
        <v>0.11</v>
      </c>
      <c r="E13" s="1">
        <f>C13-D13</f>
        <v>-0.06</v>
      </c>
      <c r="F13" s="1">
        <f>0-D13</f>
        <v>-0.11</v>
      </c>
      <c r="G13" s="1">
        <f t="shared" ref="G13" si="9">ABS(E13)</f>
        <v>0.06</v>
      </c>
      <c r="H13" s="1">
        <f t="shared" ref="H13" si="10">ABS(F13)</f>
        <v>0.11</v>
      </c>
    </row>
    <row r="14" spans="1:13" x14ac:dyDescent="0.25">
      <c r="A14" s="1">
        <v>2</v>
      </c>
      <c r="B14" s="1">
        <v>0.32</v>
      </c>
      <c r="C14" s="1">
        <f t="shared" ref="C14:C32" si="11">A14/MAX($A$13:$A$32)</f>
        <v>0.1</v>
      </c>
      <c r="D14" s="1">
        <f t="shared" ref="D14:D32" si="12">B14</f>
        <v>0.32</v>
      </c>
      <c r="E14" s="1">
        <f t="shared" ref="E14:E32" si="13">C14-D14</f>
        <v>-0.22</v>
      </c>
      <c r="F14" s="1">
        <f>C13-D14</f>
        <v>-0.27</v>
      </c>
      <c r="G14" s="1">
        <f t="shared" ref="G14:G32" si="14">ABS(E14)</f>
        <v>0.22</v>
      </c>
      <c r="H14" s="1">
        <f t="shared" ref="H14:H32" si="15">ABS(F14)</f>
        <v>0.27</v>
      </c>
    </row>
    <row r="15" spans="1:13" x14ac:dyDescent="0.25">
      <c r="A15" s="1">
        <v>3</v>
      </c>
      <c r="B15" s="1">
        <v>0.44</v>
      </c>
      <c r="C15" s="1">
        <f t="shared" si="11"/>
        <v>0.15</v>
      </c>
      <c r="D15" s="1">
        <f t="shared" si="12"/>
        <v>0.44</v>
      </c>
      <c r="E15" s="1">
        <f t="shared" si="13"/>
        <v>-0.29000000000000004</v>
      </c>
      <c r="F15" s="1">
        <f t="shared" ref="F15:F32" si="16">C14-D15</f>
        <v>-0.33999999999999997</v>
      </c>
      <c r="G15" s="1">
        <f t="shared" si="14"/>
        <v>0.29000000000000004</v>
      </c>
      <c r="H15" s="1">
        <f t="shared" si="15"/>
        <v>0.33999999999999997</v>
      </c>
    </row>
    <row r="16" spans="1:13" x14ac:dyDescent="0.25">
      <c r="A16" s="1">
        <v>4</v>
      </c>
      <c r="B16" s="1">
        <v>0.51</v>
      </c>
      <c r="C16" s="1">
        <f t="shared" si="11"/>
        <v>0.2</v>
      </c>
      <c r="D16" s="1">
        <f t="shared" si="12"/>
        <v>0.51</v>
      </c>
      <c r="E16" s="1">
        <f t="shared" si="13"/>
        <v>-0.31</v>
      </c>
      <c r="F16" s="1">
        <f t="shared" si="16"/>
        <v>-0.36</v>
      </c>
      <c r="G16" s="1">
        <f t="shared" si="14"/>
        <v>0.31</v>
      </c>
      <c r="H16" s="1">
        <f t="shared" si="15"/>
        <v>0.36</v>
      </c>
    </row>
    <row r="17" spans="1:8" x14ac:dyDescent="0.25">
      <c r="A17" s="1">
        <v>5</v>
      </c>
      <c r="B17" s="1">
        <v>0.53</v>
      </c>
      <c r="C17" s="1">
        <f t="shared" si="11"/>
        <v>0.25</v>
      </c>
      <c r="D17" s="1">
        <f t="shared" si="12"/>
        <v>0.53</v>
      </c>
      <c r="E17" s="1">
        <f t="shared" si="13"/>
        <v>-0.28000000000000003</v>
      </c>
      <c r="F17" s="1">
        <f t="shared" si="16"/>
        <v>-0.33</v>
      </c>
      <c r="G17" s="1">
        <f t="shared" si="14"/>
        <v>0.28000000000000003</v>
      </c>
      <c r="H17" s="1">
        <f t="shared" si="15"/>
        <v>0.33</v>
      </c>
    </row>
    <row r="18" spans="1:8" x14ac:dyDescent="0.25">
      <c r="A18" s="1">
        <v>6</v>
      </c>
      <c r="B18" s="1">
        <v>0.56999999999999995</v>
      </c>
      <c r="C18" s="1">
        <f t="shared" si="11"/>
        <v>0.3</v>
      </c>
      <c r="D18" s="1">
        <f t="shared" si="12"/>
        <v>0.56999999999999995</v>
      </c>
      <c r="E18" s="1">
        <f t="shared" si="13"/>
        <v>-0.26999999999999996</v>
      </c>
      <c r="F18" s="1">
        <f t="shared" si="16"/>
        <v>-0.31999999999999995</v>
      </c>
      <c r="G18" s="1">
        <f t="shared" si="14"/>
        <v>0.26999999999999996</v>
      </c>
      <c r="H18" s="1">
        <f t="shared" si="15"/>
        <v>0.31999999999999995</v>
      </c>
    </row>
    <row r="19" spans="1:8" x14ac:dyDescent="0.25">
      <c r="A19" s="1">
        <v>7</v>
      </c>
      <c r="B19" s="1">
        <v>0.6</v>
      </c>
      <c r="C19" s="1">
        <f t="shared" si="11"/>
        <v>0.35</v>
      </c>
      <c r="D19" s="1">
        <f t="shared" si="12"/>
        <v>0.6</v>
      </c>
      <c r="E19" s="1">
        <f t="shared" si="13"/>
        <v>-0.25</v>
      </c>
      <c r="F19" s="1">
        <f t="shared" si="16"/>
        <v>-0.3</v>
      </c>
      <c r="G19" s="1">
        <f t="shared" si="14"/>
        <v>0.25</v>
      </c>
      <c r="H19" s="1">
        <f t="shared" si="15"/>
        <v>0.3</v>
      </c>
    </row>
    <row r="20" spans="1:8" x14ac:dyDescent="0.25">
      <c r="A20" s="1">
        <v>8</v>
      </c>
      <c r="B20" s="1">
        <v>0.63</v>
      </c>
      <c r="C20" s="1">
        <f t="shared" si="11"/>
        <v>0.4</v>
      </c>
      <c r="D20" s="1">
        <f t="shared" si="12"/>
        <v>0.63</v>
      </c>
      <c r="E20" s="1">
        <f t="shared" si="13"/>
        <v>-0.22999999999999998</v>
      </c>
      <c r="F20" s="1">
        <f t="shared" si="16"/>
        <v>-0.28000000000000003</v>
      </c>
      <c r="G20" s="1">
        <f t="shared" si="14"/>
        <v>0.22999999999999998</v>
      </c>
      <c r="H20" s="1">
        <f t="shared" si="15"/>
        <v>0.28000000000000003</v>
      </c>
    </row>
    <row r="21" spans="1:8" x14ac:dyDescent="0.25">
      <c r="A21" s="1">
        <v>9</v>
      </c>
      <c r="B21" s="1">
        <v>0.65</v>
      </c>
      <c r="C21" s="1">
        <f t="shared" si="11"/>
        <v>0.45</v>
      </c>
      <c r="D21" s="1">
        <f t="shared" si="12"/>
        <v>0.65</v>
      </c>
      <c r="E21" s="1">
        <f t="shared" si="13"/>
        <v>-0.2</v>
      </c>
      <c r="F21" s="1">
        <f t="shared" si="16"/>
        <v>-0.25</v>
      </c>
      <c r="G21" s="1">
        <f t="shared" si="14"/>
        <v>0.2</v>
      </c>
      <c r="H21" s="1">
        <f t="shared" si="15"/>
        <v>0.25</v>
      </c>
    </row>
    <row r="22" spans="1:8" x14ac:dyDescent="0.25">
      <c r="A22" s="1">
        <v>10</v>
      </c>
      <c r="B22" s="1">
        <v>0.69</v>
      </c>
      <c r="C22" s="1">
        <f t="shared" si="11"/>
        <v>0.5</v>
      </c>
      <c r="D22" s="1">
        <f t="shared" si="12"/>
        <v>0.69</v>
      </c>
      <c r="E22" s="1">
        <f t="shared" si="13"/>
        <v>-0.18999999999999995</v>
      </c>
      <c r="F22" s="1">
        <f t="shared" si="16"/>
        <v>-0.23999999999999994</v>
      </c>
      <c r="G22" s="1">
        <f t="shared" si="14"/>
        <v>0.18999999999999995</v>
      </c>
      <c r="H22" s="1">
        <f t="shared" si="15"/>
        <v>0.23999999999999994</v>
      </c>
    </row>
    <row r="23" spans="1:8" x14ac:dyDescent="0.25">
      <c r="A23" s="1">
        <v>11</v>
      </c>
      <c r="B23" s="1">
        <v>0.72</v>
      </c>
      <c r="C23" s="1">
        <f t="shared" si="11"/>
        <v>0.55000000000000004</v>
      </c>
      <c r="D23" s="1">
        <f t="shared" si="12"/>
        <v>0.72</v>
      </c>
      <c r="E23" s="1">
        <f t="shared" si="13"/>
        <v>-0.16999999999999993</v>
      </c>
      <c r="F23" s="1">
        <f t="shared" si="16"/>
        <v>-0.21999999999999997</v>
      </c>
      <c r="G23" s="1">
        <f t="shared" si="14"/>
        <v>0.16999999999999993</v>
      </c>
      <c r="H23" s="1">
        <f t="shared" si="15"/>
        <v>0.21999999999999997</v>
      </c>
    </row>
    <row r="24" spans="1:8" x14ac:dyDescent="0.25">
      <c r="A24" s="1">
        <v>12</v>
      </c>
      <c r="B24" s="1">
        <v>0.76</v>
      </c>
      <c r="C24" s="1">
        <f t="shared" si="11"/>
        <v>0.6</v>
      </c>
      <c r="D24" s="1">
        <f t="shared" si="12"/>
        <v>0.76</v>
      </c>
      <c r="E24" s="1">
        <f t="shared" si="13"/>
        <v>-0.16000000000000003</v>
      </c>
      <c r="F24" s="1">
        <f t="shared" si="16"/>
        <v>-0.20999999999999996</v>
      </c>
      <c r="G24" s="1">
        <f t="shared" si="14"/>
        <v>0.16000000000000003</v>
      </c>
      <c r="H24" s="1">
        <f t="shared" si="15"/>
        <v>0.20999999999999996</v>
      </c>
    </row>
    <row r="25" spans="1:8" x14ac:dyDescent="0.25">
      <c r="A25" s="1">
        <v>13</v>
      </c>
      <c r="B25" s="1">
        <v>0.79</v>
      </c>
      <c r="C25" s="1">
        <f t="shared" si="11"/>
        <v>0.65</v>
      </c>
      <c r="D25" s="1">
        <f t="shared" si="12"/>
        <v>0.79</v>
      </c>
      <c r="E25" s="1">
        <f t="shared" si="13"/>
        <v>-0.14000000000000001</v>
      </c>
      <c r="F25" s="1">
        <f t="shared" si="16"/>
        <v>-0.19000000000000006</v>
      </c>
      <c r="G25" s="1">
        <f t="shared" si="14"/>
        <v>0.14000000000000001</v>
      </c>
      <c r="H25" s="1">
        <f t="shared" si="15"/>
        <v>0.19000000000000006</v>
      </c>
    </row>
    <row r="26" spans="1:8" x14ac:dyDescent="0.25">
      <c r="A26" s="1">
        <v>14</v>
      </c>
      <c r="B26" s="1">
        <v>0.81</v>
      </c>
      <c r="C26" s="1">
        <f t="shared" si="11"/>
        <v>0.7</v>
      </c>
      <c r="D26" s="1">
        <f t="shared" si="12"/>
        <v>0.81</v>
      </c>
      <c r="E26" s="1">
        <f t="shared" si="13"/>
        <v>-0.1100000000000001</v>
      </c>
      <c r="F26" s="1">
        <f t="shared" si="16"/>
        <v>-0.16000000000000003</v>
      </c>
      <c r="G26" s="1">
        <f t="shared" si="14"/>
        <v>0.1100000000000001</v>
      </c>
      <c r="H26" s="1">
        <f t="shared" si="15"/>
        <v>0.16000000000000003</v>
      </c>
    </row>
    <row r="27" spans="1:8" x14ac:dyDescent="0.25">
      <c r="A27" s="1">
        <v>15</v>
      </c>
      <c r="B27" s="1">
        <v>0.83</v>
      </c>
      <c r="C27" s="1">
        <f t="shared" si="11"/>
        <v>0.75</v>
      </c>
      <c r="D27" s="1">
        <f t="shared" si="12"/>
        <v>0.83</v>
      </c>
      <c r="E27" s="1">
        <f t="shared" si="13"/>
        <v>-7.999999999999996E-2</v>
      </c>
      <c r="F27" s="1">
        <f t="shared" si="16"/>
        <v>-0.13</v>
      </c>
      <c r="G27" s="1">
        <f t="shared" si="14"/>
        <v>7.999999999999996E-2</v>
      </c>
      <c r="H27" s="1">
        <f t="shared" si="15"/>
        <v>0.13</v>
      </c>
    </row>
    <row r="28" spans="1:8" x14ac:dyDescent="0.25">
      <c r="A28" s="1">
        <v>16</v>
      </c>
      <c r="B28" s="1">
        <v>0.87</v>
      </c>
      <c r="C28" s="1">
        <f t="shared" si="11"/>
        <v>0.8</v>
      </c>
      <c r="D28" s="1">
        <f t="shared" si="12"/>
        <v>0.87</v>
      </c>
      <c r="E28" s="1">
        <f t="shared" si="13"/>
        <v>-6.9999999999999951E-2</v>
      </c>
      <c r="F28" s="1">
        <f t="shared" si="16"/>
        <v>-0.12</v>
      </c>
      <c r="G28" s="1">
        <f t="shared" si="14"/>
        <v>6.9999999999999951E-2</v>
      </c>
      <c r="H28" s="1">
        <f t="shared" si="15"/>
        <v>0.12</v>
      </c>
    </row>
    <row r="29" spans="1:8" x14ac:dyDescent="0.25">
      <c r="A29" s="1">
        <v>17</v>
      </c>
      <c r="B29" s="1">
        <v>0.91</v>
      </c>
      <c r="C29" s="1">
        <f t="shared" si="11"/>
        <v>0.85</v>
      </c>
      <c r="D29" s="1">
        <f t="shared" si="12"/>
        <v>0.91</v>
      </c>
      <c r="E29" s="1">
        <f t="shared" si="13"/>
        <v>-6.0000000000000053E-2</v>
      </c>
      <c r="F29" s="1">
        <f t="shared" si="16"/>
        <v>-0.10999999999999999</v>
      </c>
      <c r="G29" s="1">
        <f t="shared" si="14"/>
        <v>6.0000000000000053E-2</v>
      </c>
      <c r="H29" s="1">
        <f t="shared" si="15"/>
        <v>0.10999999999999999</v>
      </c>
    </row>
    <row r="30" spans="1:8" x14ac:dyDescent="0.25">
      <c r="A30" s="1">
        <v>18</v>
      </c>
      <c r="B30" s="1">
        <v>0.94</v>
      </c>
      <c r="C30" s="1">
        <f t="shared" si="11"/>
        <v>0.9</v>
      </c>
      <c r="D30" s="1">
        <f t="shared" si="12"/>
        <v>0.94</v>
      </c>
      <c r="E30" s="1">
        <f t="shared" si="13"/>
        <v>-3.9999999999999925E-2</v>
      </c>
      <c r="F30" s="1">
        <f t="shared" si="16"/>
        <v>-8.9999999999999969E-2</v>
      </c>
      <c r="G30" s="1">
        <f t="shared" si="14"/>
        <v>3.9999999999999925E-2</v>
      </c>
      <c r="H30" s="1">
        <f t="shared" si="15"/>
        <v>8.9999999999999969E-2</v>
      </c>
    </row>
    <row r="31" spans="1:8" x14ac:dyDescent="0.25">
      <c r="A31" s="1">
        <v>19</v>
      </c>
      <c r="B31" s="1">
        <v>0.96</v>
      </c>
      <c r="C31" s="1">
        <f t="shared" si="11"/>
        <v>0.95</v>
      </c>
      <c r="D31" s="1">
        <f t="shared" si="12"/>
        <v>0.96</v>
      </c>
      <c r="E31" s="1">
        <f t="shared" si="13"/>
        <v>-1.0000000000000009E-2</v>
      </c>
      <c r="F31" s="1">
        <f t="shared" si="16"/>
        <v>-5.9999999999999942E-2</v>
      </c>
      <c r="G31" s="1">
        <f t="shared" si="14"/>
        <v>1.0000000000000009E-2</v>
      </c>
      <c r="H31" s="1">
        <f t="shared" si="15"/>
        <v>5.9999999999999942E-2</v>
      </c>
    </row>
    <row r="32" spans="1:8" x14ac:dyDescent="0.25">
      <c r="A32" s="1">
        <v>20</v>
      </c>
      <c r="B32" s="1">
        <v>0.98</v>
      </c>
      <c r="C32" s="1">
        <f t="shared" si="11"/>
        <v>1</v>
      </c>
      <c r="D32" s="1">
        <f t="shared" si="12"/>
        <v>0.98</v>
      </c>
      <c r="E32" s="1">
        <f t="shared" si="13"/>
        <v>2.0000000000000018E-2</v>
      </c>
      <c r="F32" s="1">
        <f t="shared" si="16"/>
        <v>-3.0000000000000027E-2</v>
      </c>
      <c r="G32" s="1">
        <f t="shared" si="14"/>
        <v>2.0000000000000018E-2</v>
      </c>
      <c r="H32" s="1">
        <f t="shared" si="15"/>
        <v>3.0000000000000027E-2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2" sqref="B2:J11"/>
    </sheetView>
  </sheetViews>
  <sheetFormatPr defaultRowHeight="12" x14ac:dyDescent="0.25"/>
  <cols>
    <col min="1" max="10" width="13.140625" style="1" customWidth="1"/>
    <col min="11" max="11" width="6.85546875" style="1" customWidth="1"/>
    <col min="12" max="16384" width="9.140625" style="1"/>
  </cols>
  <sheetData>
    <row r="1" spans="1:10" s="2" customFormat="1" ht="28.5" customHeight="1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10</v>
      </c>
      <c r="J1" s="2" t="s">
        <v>11</v>
      </c>
    </row>
    <row r="2" spans="1:10" ht="28.5" customHeight="1" x14ac:dyDescent="0.25">
      <c r="A2" s="1">
        <v>1</v>
      </c>
      <c r="B2" s="5">
        <v>0.4</v>
      </c>
      <c r="C2" s="5">
        <f>A2/MAX($A$2:$A$11)</f>
        <v>0.1</v>
      </c>
      <c r="D2" s="5">
        <f>B2^2*(3-2*B2)</f>
        <v>0.35200000000000009</v>
      </c>
      <c r="E2" s="5">
        <f>C2-D2</f>
        <v>-0.25200000000000011</v>
      </c>
      <c r="F2" s="5">
        <f>0-D2</f>
        <v>-0.35200000000000009</v>
      </c>
      <c r="G2" s="5">
        <f>ABS(E2)</f>
        <v>0.25200000000000011</v>
      </c>
      <c r="H2" s="5">
        <f>ABS(F2)</f>
        <v>0.35200000000000009</v>
      </c>
      <c r="I2" s="5">
        <f>IF(C2-0.409&lt;=0,0,C2-0.409)</f>
        <v>0</v>
      </c>
      <c r="J2" s="5">
        <f>IF(C2+0.409&gt;=1,1,C2+0.409)</f>
        <v>0.50900000000000001</v>
      </c>
    </row>
    <row r="3" spans="1:10" ht="28.5" customHeight="1" x14ac:dyDescent="0.25">
      <c r="A3" s="1">
        <v>2</v>
      </c>
      <c r="B3" s="5">
        <v>0.5</v>
      </c>
      <c r="C3" s="5">
        <f t="shared" ref="C3:C11" si="0">A3/MAX($A$2:$A$11)</f>
        <v>0.2</v>
      </c>
      <c r="D3" s="5">
        <f t="shared" ref="D3:D11" si="1">B3^2*(3-2*B3)</f>
        <v>0.5</v>
      </c>
      <c r="E3" s="5">
        <f t="shared" ref="E3:E11" si="2">C3-D3</f>
        <v>-0.3</v>
      </c>
      <c r="F3" s="5">
        <f>C2-D3</f>
        <v>-0.4</v>
      </c>
      <c r="G3" s="5">
        <f t="shared" ref="G3:H11" si="3">ABS(E3)</f>
        <v>0.3</v>
      </c>
      <c r="H3" s="5">
        <f t="shared" si="3"/>
        <v>0.4</v>
      </c>
      <c r="I3" s="5">
        <f t="shared" ref="I3:I11" si="4">IF(C3-0.409&lt;=0,0,C3-0.409)</f>
        <v>0</v>
      </c>
      <c r="J3" s="5">
        <f t="shared" ref="J3:J11" si="5">IF(C3+0.409&gt;=1,1,C3+0.409)</f>
        <v>0.60899999999999999</v>
      </c>
    </row>
    <row r="4" spans="1:10" ht="28.5" customHeight="1" x14ac:dyDescent="0.25">
      <c r="A4" s="1">
        <v>3</v>
      </c>
      <c r="B4" s="5">
        <v>0.52</v>
      </c>
      <c r="C4" s="5">
        <f t="shared" si="0"/>
        <v>0.3</v>
      </c>
      <c r="D4" s="5">
        <f t="shared" si="1"/>
        <v>0.52998400000000001</v>
      </c>
      <c r="E4" s="5">
        <f t="shared" si="2"/>
        <v>-0.22998400000000002</v>
      </c>
      <c r="F4" s="5">
        <f t="shared" ref="F4:F11" si="6">C3-D4</f>
        <v>-0.329984</v>
      </c>
      <c r="G4" s="5">
        <f t="shared" si="3"/>
        <v>0.22998400000000002</v>
      </c>
      <c r="H4" s="5">
        <f t="shared" si="3"/>
        <v>0.329984</v>
      </c>
      <c r="I4" s="5">
        <f t="shared" si="4"/>
        <v>0</v>
      </c>
      <c r="J4" s="5">
        <f t="shared" si="5"/>
        <v>0.70899999999999996</v>
      </c>
    </row>
    <row r="5" spans="1:10" ht="28.5" customHeight="1" x14ac:dyDescent="0.25">
      <c r="A5" s="1">
        <v>4</v>
      </c>
      <c r="B5" s="5">
        <v>0.57999999999999996</v>
      </c>
      <c r="C5" s="5">
        <f t="shared" si="0"/>
        <v>0.4</v>
      </c>
      <c r="D5" s="5">
        <f t="shared" si="1"/>
        <v>0.61897599999999997</v>
      </c>
      <c r="E5" s="5">
        <f t="shared" si="2"/>
        <v>-0.21897599999999995</v>
      </c>
      <c r="F5" s="5">
        <f t="shared" si="6"/>
        <v>-0.31897599999999998</v>
      </c>
      <c r="G5" s="5">
        <f t="shared" si="3"/>
        <v>0.21897599999999995</v>
      </c>
      <c r="H5" s="5">
        <f t="shared" si="3"/>
        <v>0.31897599999999998</v>
      </c>
      <c r="I5" s="5">
        <f t="shared" si="4"/>
        <v>0</v>
      </c>
      <c r="J5" s="5">
        <f t="shared" si="5"/>
        <v>0.80899999999999994</v>
      </c>
    </row>
    <row r="6" spans="1:10" ht="28.5" customHeight="1" x14ac:dyDescent="0.25">
      <c r="A6" s="1">
        <v>5</v>
      </c>
      <c r="B6" s="5">
        <v>0.6</v>
      </c>
      <c r="C6" s="5">
        <f t="shared" si="0"/>
        <v>0.5</v>
      </c>
      <c r="D6" s="5">
        <f t="shared" si="1"/>
        <v>0.64800000000000002</v>
      </c>
      <c r="E6" s="5">
        <f t="shared" si="2"/>
        <v>-0.14800000000000002</v>
      </c>
      <c r="F6" s="5">
        <f t="shared" si="6"/>
        <v>-0.248</v>
      </c>
      <c r="G6" s="5">
        <f t="shared" si="3"/>
        <v>0.14800000000000002</v>
      </c>
      <c r="H6" s="5">
        <f t="shared" si="3"/>
        <v>0.248</v>
      </c>
      <c r="I6" s="5">
        <f t="shared" si="4"/>
        <v>9.1000000000000025E-2</v>
      </c>
      <c r="J6" s="5">
        <f t="shared" si="5"/>
        <v>0.90900000000000003</v>
      </c>
    </row>
    <row r="7" spans="1:10" ht="28.5" customHeight="1" x14ac:dyDescent="0.25">
      <c r="A7" s="1">
        <v>6</v>
      </c>
      <c r="B7" s="5">
        <v>0.65</v>
      </c>
      <c r="C7" s="5">
        <f t="shared" si="0"/>
        <v>0.6</v>
      </c>
      <c r="D7" s="5">
        <f t="shared" si="1"/>
        <v>0.71825000000000006</v>
      </c>
      <c r="E7" s="5">
        <f t="shared" si="2"/>
        <v>-0.11825000000000008</v>
      </c>
      <c r="F7" s="5">
        <f t="shared" si="6"/>
        <v>-0.21825000000000006</v>
      </c>
      <c r="G7" s="5">
        <f t="shared" si="3"/>
        <v>0.11825000000000008</v>
      </c>
      <c r="H7" s="5">
        <f t="shared" si="3"/>
        <v>0.21825000000000006</v>
      </c>
      <c r="I7" s="5">
        <f t="shared" si="4"/>
        <v>0.191</v>
      </c>
      <c r="J7" s="5">
        <f t="shared" si="5"/>
        <v>1</v>
      </c>
    </row>
    <row r="8" spans="1:10" ht="28.5" customHeight="1" x14ac:dyDescent="0.25">
      <c r="A8" s="1">
        <v>7</v>
      </c>
      <c r="B8" s="5">
        <v>0.8</v>
      </c>
      <c r="C8" s="5">
        <v>0.8</v>
      </c>
      <c r="D8" s="5">
        <f t="shared" si="1"/>
        <v>0.89600000000000013</v>
      </c>
      <c r="E8" s="5">
        <f t="shared" si="2"/>
        <v>-9.6000000000000085E-2</v>
      </c>
      <c r="F8" s="5">
        <f t="shared" si="6"/>
        <v>-0.29600000000000015</v>
      </c>
      <c r="G8" s="5">
        <f t="shared" si="3"/>
        <v>9.6000000000000085E-2</v>
      </c>
      <c r="H8" s="5">
        <f t="shared" si="3"/>
        <v>0.29600000000000015</v>
      </c>
      <c r="I8" s="5">
        <f t="shared" si="4"/>
        <v>0.39100000000000007</v>
      </c>
      <c r="J8" s="5">
        <f t="shared" si="5"/>
        <v>1</v>
      </c>
    </row>
    <row r="9" spans="1:10" ht="28.5" customHeight="1" x14ac:dyDescent="0.25">
      <c r="A9" s="1">
        <v>8</v>
      </c>
      <c r="B9" s="5">
        <v>0.8</v>
      </c>
      <c r="C9" s="5">
        <f t="shared" si="0"/>
        <v>0.8</v>
      </c>
      <c r="D9" s="5">
        <f t="shared" si="1"/>
        <v>0.89600000000000013</v>
      </c>
      <c r="E9" s="5">
        <f t="shared" si="2"/>
        <v>-9.6000000000000085E-2</v>
      </c>
      <c r="F9" s="5">
        <f t="shared" si="6"/>
        <v>-9.6000000000000085E-2</v>
      </c>
      <c r="G9" s="5">
        <f t="shared" si="3"/>
        <v>9.6000000000000085E-2</v>
      </c>
      <c r="H9" s="5">
        <f t="shared" si="3"/>
        <v>9.6000000000000085E-2</v>
      </c>
      <c r="I9" s="5">
        <f t="shared" si="4"/>
        <v>0.39100000000000007</v>
      </c>
      <c r="J9" s="5">
        <f t="shared" si="5"/>
        <v>1</v>
      </c>
    </row>
    <row r="10" spans="1:10" ht="28.5" customHeight="1" x14ac:dyDescent="0.25">
      <c r="A10" s="1">
        <v>9</v>
      </c>
      <c r="B10" s="5">
        <v>0.82</v>
      </c>
      <c r="C10" s="5">
        <f t="shared" si="0"/>
        <v>0.9</v>
      </c>
      <c r="D10" s="5">
        <f t="shared" si="1"/>
        <v>0.91446399999999994</v>
      </c>
      <c r="E10" s="5">
        <f t="shared" si="2"/>
        <v>-1.4463999999999921E-2</v>
      </c>
      <c r="F10" s="5">
        <f t="shared" si="6"/>
        <v>-0.1144639999999999</v>
      </c>
      <c r="G10" s="5">
        <f t="shared" si="3"/>
        <v>1.4463999999999921E-2</v>
      </c>
      <c r="H10" s="5">
        <f t="shared" si="3"/>
        <v>0.1144639999999999</v>
      </c>
      <c r="I10" s="5">
        <f t="shared" si="4"/>
        <v>0.49100000000000005</v>
      </c>
      <c r="J10" s="5">
        <f t="shared" si="5"/>
        <v>1</v>
      </c>
    </row>
    <row r="11" spans="1:10" ht="28.5" customHeight="1" x14ac:dyDescent="0.25">
      <c r="A11" s="1">
        <v>10</v>
      </c>
      <c r="B11" s="5">
        <v>0.95</v>
      </c>
      <c r="C11" s="5">
        <f t="shared" si="0"/>
        <v>1</v>
      </c>
      <c r="D11" s="5">
        <f t="shared" si="1"/>
        <v>0.99275000000000002</v>
      </c>
      <c r="E11" s="5">
        <f t="shared" si="2"/>
        <v>7.2499999999999787E-3</v>
      </c>
      <c r="F11" s="5">
        <f t="shared" si="6"/>
        <v>-9.2749999999999999E-2</v>
      </c>
      <c r="G11" s="5">
        <f t="shared" si="3"/>
        <v>7.2499999999999787E-3</v>
      </c>
      <c r="H11" s="5">
        <f t="shared" si="3"/>
        <v>9.2749999999999999E-2</v>
      </c>
      <c r="I11" s="5">
        <f t="shared" si="4"/>
        <v>0.59099999999999997</v>
      </c>
      <c r="J11" s="5">
        <f t="shared" si="5"/>
        <v>1</v>
      </c>
    </row>
    <row r="12" spans="1:10" x14ac:dyDescent="0.25">
      <c r="I12" s="3"/>
      <c r="J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CDF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Acuyugan</dc:creator>
  <cp:lastModifiedBy>acuyugan</cp:lastModifiedBy>
  <dcterms:created xsi:type="dcterms:W3CDTF">2015-10-08T19:58:57Z</dcterms:created>
  <dcterms:modified xsi:type="dcterms:W3CDTF">2015-10-15T16:18:59Z</dcterms:modified>
</cp:coreProperties>
</file>