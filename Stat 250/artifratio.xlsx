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Adrian/Dropbox/MasterOfStatistics/Stat 250/"/>
    </mc:Choice>
  </mc:AlternateContent>
  <bookViews>
    <workbookView xWindow="0" yWindow="460" windowWidth="20040" windowHeight="15580"/>
  </bookViews>
  <sheets>
    <sheet name="artifratio" sheetId="1" r:id="rId1"/>
    <sheet name="sampling distribution" sheetId="2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</calcChain>
</file>

<file path=xl/sharedStrings.xml><?xml version="1.0" encoding="utf-8"?>
<sst xmlns="http://schemas.openxmlformats.org/spreadsheetml/2006/main" count="18" uniqueCount="16">
  <si>
    <t>sample</t>
  </si>
  <si>
    <t>i1</t>
  </si>
  <si>
    <t>i2</t>
  </si>
  <si>
    <t>i3</t>
  </si>
  <si>
    <t>i4</t>
  </si>
  <si>
    <t>xbars</t>
  </si>
  <si>
    <t>ybars</t>
  </si>
  <si>
    <t>bhat</t>
  </si>
  <si>
    <t>tSRS</t>
  </si>
  <si>
    <t>thatr</t>
  </si>
  <si>
    <t>average</t>
  </si>
  <si>
    <t>bhat_com</t>
  </si>
  <si>
    <t>tSRS_com</t>
  </si>
  <si>
    <t>x</t>
  </si>
  <si>
    <t>y</t>
  </si>
  <si>
    <t>thatr_com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</si>
</sst>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tabSelected="1" topLeftCell="A45" workbookViewId="0">
      <selection activeCell="K73" sqref="K73"/>
    </sheetView>
  </sheetViews>
  <sheetFormatPr baseColWidth="10" defaultColWidth="8.83203125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5</v>
      </c>
      <c r="L1" s="1" t="s">
        <v>6</v>
      </c>
      <c r="M1" s="1" t="s">
        <v>11</v>
      </c>
      <c r="N1" s="1" t="s">
        <v>12</v>
      </c>
      <c r="O1" s="1" t="s">
        <v>15</v>
      </c>
    </row>
    <row r="2" spans="1:15" x14ac:dyDescent="0.2">
      <c r="A2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2.75</v>
      </c>
      <c r="H2">
        <v>0.55000000000000004</v>
      </c>
      <c r="I2">
        <v>22</v>
      </c>
      <c r="J2">
        <v>25.85</v>
      </c>
      <c r="K2">
        <f>(VLOOKUP(B2,'sampling distribution'!$A$1:$C$9,2,FALSE)+VLOOKUP(C2,'sampling distribution'!$A$1:$C$9,2,FALSE)+VLOOKUP(D2,'sampling distribution'!$A$1:$C$9,2,FALSE)+VLOOKUP(E2,'sampling distribution'!$A$1:$C$9,2,FALSE))/4</f>
        <v>5</v>
      </c>
      <c r="L2">
        <f>(VLOOKUP(B2,'sampling distribution'!$A$1:$C$9,3,FALSE)+VLOOKUP(C2,'sampling distribution'!$A$1:$C$9,3,FALSE)+VLOOKUP(D2,'sampling distribution'!$A$1:$C$9,3,FALSE)+VLOOKUP(E2,'sampling distribution'!$A$1:$C$9,3,FALSE))/4</f>
        <v>2.75</v>
      </c>
      <c r="M2">
        <f>L2/K2</f>
        <v>0.55000000000000004</v>
      </c>
      <c r="N2">
        <f>(VLOOKUP(B2,'sampling distribution'!$A$1:$C$9,3,FALSE)+VLOOKUP(C2,'sampling distribution'!$A$1:$C$9,3,FALSE)+VLOOKUP(D2,'sampling distribution'!$A$1:$C$9,3,FALSE)+VLOOKUP(E2,'sampling distribution'!$A$1:$C$9,3,FALSE))*2</f>
        <v>22</v>
      </c>
      <c r="O2">
        <f>M2*SUM('sampling distribution'!$B$2:$B$9)</f>
        <v>25.85</v>
      </c>
    </row>
    <row r="3" spans="1:15" x14ac:dyDescent="0.2">
      <c r="A3">
        <v>2</v>
      </c>
      <c r="B3">
        <v>1</v>
      </c>
      <c r="C3">
        <v>2</v>
      </c>
      <c r="D3">
        <v>3</v>
      </c>
      <c r="E3">
        <v>5</v>
      </c>
      <c r="F3">
        <v>5.5</v>
      </c>
      <c r="G3">
        <v>3.5</v>
      </c>
      <c r="H3">
        <v>0.63636360000000003</v>
      </c>
      <c r="I3">
        <v>28</v>
      </c>
      <c r="J3">
        <v>29.909089999999999</v>
      </c>
      <c r="K3">
        <f>(VLOOKUP(B3,'sampling distribution'!$A$1:$C$9,2,FALSE)+VLOOKUP(C3,'sampling distribution'!$A$1:$C$9,2,FALSE)+VLOOKUP(D3,'sampling distribution'!$A$1:$C$9,2,FALSE)+VLOOKUP(E3,'sampling distribution'!$A$1:$C$9,2,FALSE))/4</f>
        <v>5.5</v>
      </c>
      <c r="L3">
        <f>(VLOOKUP(B3,'sampling distribution'!$A$1:$C$9,3,FALSE)+VLOOKUP(C3,'sampling distribution'!$A$1:$C$9,3,FALSE)+VLOOKUP(D3,'sampling distribution'!$A$1:$C$9,3,FALSE)+VLOOKUP(E3,'sampling distribution'!$A$1:$C$9,3,FALSE))/4</f>
        <v>3.5</v>
      </c>
      <c r="M3">
        <f t="shared" ref="M3:M66" si="0">L3/K3</f>
        <v>0.63636363636363635</v>
      </c>
      <c r="N3">
        <f>(VLOOKUP(B3,'sampling distribution'!$A$1:$C$9,3,FALSE)+VLOOKUP(C3,'sampling distribution'!$A$1:$C$9,3,FALSE)+VLOOKUP(D3,'sampling distribution'!$A$1:$C$9,3,FALSE)+VLOOKUP(E3,'sampling distribution'!$A$1:$C$9,3,FALSE))*2</f>
        <v>28</v>
      </c>
      <c r="O3">
        <f>M3*SUM('sampling distribution'!$B$2:$B$9)</f>
        <v>29.90909090909091</v>
      </c>
    </row>
    <row r="4" spans="1:15" x14ac:dyDescent="0.2">
      <c r="A4">
        <v>3</v>
      </c>
      <c r="B4">
        <v>1</v>
      </c>
      <c r="C4">
        <v>2</v>
      </c>
      <c r="D4">
        <v>3</v>
      </c>
      <c r="E4">
        <v>6</v>
      </c>
      <c r="F4">
        <v>5.25</v>
      </c>
      <c r="G4">
        <v>3.5</v>
      </c>
      <c r="H4">
        <v>0.66666669999999995</v>
      </c>
      <c r="I4">
        <v>28</v>
      </c>
      <c r="J4">
        <v>31.33333</v>
      </c>
      <c r="K4">
        <f>(VLOOKUP(B4,'sampling distribution'!$A$1:$C$9,2,FALSE)+VLOOKUP(C4,'sampling distribution'!$A$1:$C$9,2,FALSE)+VLOOKUP(D4,'sampling distribution'!$A$1:$C$9,2,FALSE)+VLOOKUP(E4,'sampling distribution'!$A$1:$C$9,2,FALSE))/4</f>
        <v>5.25</v>
      </c>
      <c r="L4">
        <f>(VLOOKUP(B4,'sampling distribution'!$A$1:$C$9,3,FALSE)+VLOOKUP(C4,'sampling distribution'!$A$1:$C$9,3,FALSE)+VLOOKUP(D4,'sampling distribution'!$A$1:$C$9,3,FALSE)+VLOOKUP(E4,'sampling distribution'!$A$1:$C$9,3,FALSE))/4</f>
        <v>3.5</v>
      </c>
      <c r="M4">
        <f t="shared" si="0"/>
        <v>0.66666666666666663</v>
      </c>
      <c r="N4">
        <f>(VLOOKUP(B4,'sampling distribution'!$A$1:$C$9,3,FALSE)+VLOOKUP(C4,'sampling distribution'!$A$1:$C$9,3,FALSE)+VLOOKUP(D4,'sampling distribution'!$A$1:$C$9,3,FALSE)+VLOOKUP(E4,'sampling distribution'!$A$1:$C$9,3,FALSE))*2</f>
        <v>28</v>
      </c>
      <c r="O4">
        <f>M4*SUM('sampling distribution'!$B$2:$B$9)</f>
        <v>31.333333333333332</v>
      </c>
    </row>
    <row r="5" spans="1:15" x14ac:dyDescent="0.2">
      <c r="A5">
        <v>4</v>
      </c>
      <c r="B5">
        <v>1</v>
      </c>
      <c r="C5">
        <v>2</v>
      </c>
      <c r="D5">
        <v>3</v>
      </c>
      <c r="E5">
        <v>7</v>
      </c>
      <c r="F5">
        <v>5.25</v>
      </c>
      <c r="G5">
        <v>3.5</v>
      </c>
      <c r="H5">
        <v>0.66666669999999995</v>
      </c>
      <c r="I5">
        <v>28</v>
      </c>
      <c r="J5">
        <v>31.33333</v>
      </c>
      <c r="K5">
        <f>(VLOOKUP(B5,'sampling distribution'!$A$1:$C$9,2,FALSE)+VLOOKUP(C5,'sampling distribution'!$A$1:$C$9,2,FALSE)+VLOOKUP(D5,'sampling distribution'!$A$1:$C$9,2,FALSE)+VLOOKUP(E5,'sampling distribution'!$A$1:$C$9,2,FALSE))/4</f>
        <v>5.25</v>
      </c>
      <c r="L5">
        <f>(VLOOKUP(B5,'sampling distribution'!$A$1:$C$9,3,FALSE)+VLOOKUP(C5,'sampling distribution'!$A$1:$C$9,3,FALSE)+VLOOKUP(D5,'sampling distribution'!$A$1:$C$9,3,FALSE)+VLOOKUP(E5,'sampling distribution'!$A$1:$C$9,3,FALSE))/4</f>
        <v>3.5</v>
      </c>
      <c r="M5">
        <f t="shared" si="0"/>
        <v>0.66666666666666663</v>
      </c>
      <c r="N5">
        <f>(VLOOKUP(B5,'sampling distribution'!$A$1:$C$9,3,FALSE)+VLOOKUP(C5,'sampling distribution'!$A$1:$C$9,3,FALSE)+VLOOKUP(D5,'sampling distribution'!$A$1:$C$9,3,FALSE)+VLOOKUP(E5,'sampling distribution'!$A$1:$C$9,3,FALSE))*2</f>
        <v>28</v>
      </c>
      <c r="O5">
        <f>M5*SUM('sampling distribution'!$B$2:$B$9)</f>
        <v>31.333333333333332</v>
      </c>
    </row>
    <row r="6" spans="1:15" x14ac:dyDescent="0.2">
      <c r="A6">
        <v>5</v>
      </c>
      <c r="B6">
        <v>1</v>
      </c>
      <c r="C6">
        <v>2</v>
      </c>
      <c r="D6">
        <v>3</v>
      </c>
      <c r="E6">
        <v>8</v>
      </c>
      <c r="F6">
        <v>4.75</v>
      </c>
      <c r="G6">
        <v>3.75</v>
      </c>
      <c r="H6">
        <v>0.78947369999999994</v>
      </c>
      <c r="I6">
        <v>30</v>
      </c>
      <c r="J6">
        <v>37.105260000000001</v>
      </c>
      <c r="K6">
        <f>(VLOOKUP(B6,'sampling distribution'!$A$1:$C$9,2,FALSE)+VLOOKUP(C6,'sampling distribution'!$A$1:$C$9,2,FALSE)+VLOOKUP(D6,'sampling distribution'!$A$1:$C$9,2,FALSE)+VLOOKUP(E6,'sampling distribution'!$A$1:$C$9,2,FALSE))/4</f>
        <v>4.75</v>
      </c>
      <c r="L6">
        <f>(VLOOKUP(B6,'sampling distribution'!$A$1:$C$9,3,FALSE)+VLOOKUP(C6,'sampling distribution'!$A$1:$C$9,3,FALSE)+VLOOKUP(D6,'sampling distribution'!$A$1:$C$9,3,FALSE)+VLOOKUP(E6,'sampling distribution'!$A$1:$C$9,3,FALSE))/4</f>
        <v>3.75</v>
      </c>
      <c r="M6">
        <f t="shared" si="0"/>
        <v>0.78947368421052633</v>
      </c>
      <c r="N6">
        <f>(VLOOKUP(B6,'sampling distribution'!$A$1:$C$9,3,FALSE)+VLOOKUP(C6,'sampling distribution'!$A$1:$C$9,3,FALSE)+VLOOKUP(D6,'sampling distribution'!$A$1:$C$9,3,FALSE)+VLOOKUP(E6,'sampling distribution'!$A$1:$C$9,3,FALSE))*2</f>
        <v>30</v>
      </c>
      <c r="O6">
        <f>M6*SUM('sampling distribution'!$B$2:$B$9)</f>
        <v>37.10526315789474</v>
      </c>
    </row>
    <row r="7" spans="1:15" x14ac:dyDescent="0.2">
      <c r="A7">
        <v>6</v>
      </c>
      <c r="B7">
        <v>1</v>
      </c>
      <c r="C7">
        <v>2</v>
      </c>
      <c r="D7">
        <v>4</v>
      </c>
      <c r="E7">
        <v>5</v>
      </c>
      <c r="F7">
        <v>5.75</v>
      </c>
      <c r="G7">
        <v>3.5</v>
      </c>
      <c r="H7">
        <v>0.60869569999999995</v>
      </c>
      <c r="I7">
        <v>28</v>
      </c>
      <c r="J7">
        <v>28.608699999999999</v>
      </c>
      <c r="K7">
        <f>(VLOOKUP(B7,'sampling distribution'!$A$1:$C$9,2,FALSE)+VLOOKUP(C7,'sampling distribution'!$A$1:$C$9,2,FALSE)+VLOOKUP(D7,'sampling distribution'!$A$1:$C$9,2,FALSE)+VLOOKUP(E7,'sampling distribution'!$A$1:$C$9,2,FALSE))/4</f>
        <v>5.75</v>
      </c>
      <c r="L7">
        <f>(VLOOKUP(B7,'sampling distribution'!$A$1:$C$9,3,FALSE)+VLOOKUP(C7,'sampling distribution'!$A$1:$C$9,3,FALSE)+VLOOKUP(D7,'sampling distribution'!$A$1:$C$9,3,FALSE)+VLOOKUP(E7,'sampling distribution'!$A$1:$C$9,3,FALSE))/4</f>
        <v>3.5</v>
      </c>
      <c r="M7">
        <f t="shared" si="0"/>
        <v>0.60869565217391308</v>
      </c>
      <c r="N7">
        <f>(VLOOKUP(B7,'sampling distribution'!$A$1:$C$9,3,FALSE)+VLOOKUP(C7,'sampling distribution'!$A$1:$C$9,3,FALSE)+VLOOKUP(D7,'sampling distribution'!$A$1:$C$9,3,FALSE)+VLOOKUP(E7,'sampling distribution'!$A$1:$C$9,3,FALSE))*2</f>
        <v>28</v>
      </c>
      <c r="O7">
        <f>M7*SUM('sampling distribution'!$B$2:$B$9)</f>
        <v>28.608695652173914</v>
      </c>
    </row>
    <row r="8" spans="1:15" x14ac:dyDescent="0.2">
      <c r="A8">
        <v>7</v>
      </c>
      <c r="B8">
        <v>1</v>
      </c>
      <c r="C8">
        <v>2</v>
      </c>
      <c r="D8">
        <v>4</v>
      </c>
      <c r="E8">
        <v>6</v>
      </c>
      <c r="F8">
        <v>5.5</v>
      </c>
      <c r="G8">
        <v>3.5</v>
      </c>
      <c r="H8">
        <v>0.63636360000000003</v>
      </c>
      <c r="I8">
        <v>28</v>
      </c>
      <c r="J8">
        <v>29.909089999999999</v>
      </c>
      <c r="K8">
        <f>(VLOOKUP(B8,'sampling distribution'!$A$1:$C$9,2,FALSE)+VLOOKUP(C8,'sampling distribution'!$A$1:$C$9,2,FALSE)+VLOOKUP(D8,'sampling distribution'!$A$1:$C$9,2,FALSE)+VLOOKUP(E8,'sampling distribution'!$A$1:$C$9,2,FALSE))/4</f>
        <v>5.5</v>
      </c>
      <c r="L8">
        <f>(VLOOKUP(B8,'sampling distribution'!$A$1:$C$9,3,FALSE)+VLOOKUP(C8,'sampling distribution'!$A$1:$C$9,3,FALSE)+VLOOKUP(D8,'sampling distribution'!$A$1:$C$9,3,FALSE)+VLOOKUP(E8,'sampling distribution'!$A$1:$C$9,3,FALSE))/4</f>
        <v>3.5</v>
      </c>
      <c r="M8">
        <f t="shared" si="0"/>
        <v>0.63636363636363635</v>
      </c>
      <c r="N8">
        <f>(VLOOKUP(B8,'sampling distribution'!$A$1:$C$9,3,FALSE)+VLOOKUP(C8,'sampling distribution'!$A$1:$C$9,3,FALSE)+VLOOKUP(D8,'sampling distribution'!$A$1:$C$9,3,FALSE)+VLOOKUP(E8,'sampling distribution'!$A$1:$C$9,3,FALSE))*2</f>
        <v>28</v>
      </c>
      <c r="O8">
        <f>M8*SUM('sampling distribution'!$B$2:$B$9)</f>
        <v>29.90909090909091</v>
      </c>
    </row>
    <row r="9" spans="1:15" x14ac:dyDescent="0.2">
      <c r="A9">
        <v>8</v>
      </c>
      <c r="B9">
        <v>1</v>
      </c>
      <c r="C9">
        <v>2</v>
      </c>
      <c r="D9">
        <v>4</v>
      </c>
      <c r="E9">
        <v>7</v>
      </c>
      <c r="F9">
        <v>5.5</v>
      </c>
      <c r="G9">
        <v>3.5</v>
      </c>
      <c r="H9">
        <v>0.63636360000000003</v>
      </c>
      <c r="I9">
        <v>28</v>
      </c>
      <c r="J9">
        <v>29.909089999999999</v>
      </c>
      <c r="K9">
        <f>(VLOOKUP(B9,'sampling distribution'!$A$1:$C$9,2,FALSE)+VLOOKUP(C9,'sampling distribution'!$A$1:$C$9,2,FALSE)+VLOOKUP(D9,'sampling distribution'!$A$1:$C$9,2,FALSE)+VLOOKUP(E9,'sampling distribution'!$A$1:$C$9,2,FALSE))/4</f>
        <v>5.5</v>
      </c>
      <c r="L9">
        <f>(VLOOKUP(B9,'sampling distribution'!$A$1:$C$9,3,FALSE)+VLOOKUP(C9,'sampling distribution'!$A$1:$C$9,3,FALSE)+VLOOKUP(D9,'sampling distribution'!$A$1:$C$9,3,FALSE)+VLOOKUP(E9,'sampling distribution'!$A$1:$C$9,3,FALSE))/4</f>
        <v>3.5</v>
      </c>
      <c r="M9">
        <f t="shared" si="0"/>
        <v>0.63636363636363635</v>
      </c>
      <c r="N9">
        <f>(VLOOKUP(B9,'sampling distribution'!$A$1:$C$9,3,FALSE)+VLOOKUP(C9,'sampling distribution'!$A$1:$C$9,3,FALSE)+VLOOKUP(D9,'sampling distribution'!$A$1:$C$9,3,FALSE)+VLOOKUP(E9,'sampling distribution'!$A$1:$C$9,3,FALSE))*2</f>
        <v>28</v>
      </c>
      <c r="O9">
        <f>M9*SUM('sampling distribution'!$B$2:$B$9)</f>
        <v>29.90909090909091</v>
      </c>
    </row>
    <row r="10" spans="1:15" x14ac:dyDescent="0.2">
      <c r="A10">
        <v>9</v>
      </c>
      <c r="B10">
        <v>1</v>
      </c>
      <c r="C10">
        <v>2</v>
      </c>
      <c r="D10">
        <v>4</v>
      </c>
      <c r="E10">
        <v>8</v>
      </c>
      <c r="F10">
        <v>5</v>
      </c>
      <c r="G10">
        <v>3.75</v>
      </c>
      <c r="H10">
        <v>0.75</v>
      </c>
      <c r="I10">
        <v>30</v>
      </c>
      <c r="J10">
        <v>35.25</v>
      </c>
      <c r="K10">
        <f>(VLOOKUP(B10,'sampling distribution'!$A$1:$C$9,2,FALSE)+VLOOKUP(C10,'sampling distribution'!$A$1:$C$9,2,FALSE)+VLOOKUP(D10,'sampling distribution'!$A$1:$C$9,2,FALSE)+VLOOKUP(E10,'sampling distribution'!$A$1:$C$9,2,FALSE))/4</f>
        <v>5</v>
      </c>
      <c r="L10">
        <f>(VLOOKUP(B10,'sampling distribution'!$A$1:$C$9,3,FALSE)+VLOOKUP(C10,'sampling distribution'!$A$1:$C$9,3,FALSE)+VLOOKUP(D10,'sampling distribution'!$A$1:$C$9,3,FALSE)+VLOOKUP(E10,'sampling distribution'!$A$1:$C$9,3,FALSE))/4</f>
        <v>3.75</v>
      </c>
      <c r="M10">
        <f t="shared" si="0"/>
        <v>0.75</v>
      </c>
      <c r="N10">
        <f>(VLOOKUP(B10,'sampling distribution'!$A$1:$C$9,3,FALSE)+VLOOKUP(C10,'sampling distribution'!$A$1:$C$9,3,FALSE)+VLOOKUP(D10,'sampling distribution'!$A$1:$C$9,3,FALSE)+VLOOKUP(E10,'sampling distribution'!$A$1:$C$9,3,FALSE))*2</f>
        <v>30</v>
      </c>
      <c r="O10">
        <f>M10*SUM('sampling distribution'!$B$2:$B$9)</f>
        <v>35.25</v>
      </c>
    </row>
    <row r="11" spans="1:15" x14ac:dyDescent="0.2">
      <c r="A11">
        <v>10</v>
      </c>
      <c r="B11">
        <v>1</v>
      </c>
      <c r="C11">
        <v>2</v>
      </c>
      <c r="D11">
        <v>5</v>
      </c>
      <c r="E11">
        <v>6</v>
      </c>
      <c r="F11">
        <v>6</v>
      </c>
      <c r="G11">
        <v>4.25</v>
      </c>
      <c r="H11">
        <v>0.70833330000000005</v>
      </c>
      <c r="I11">
        <v>34</v>
      </c>
      <c r="J11">
        <v>33.291670000000003</v>
      </c>
      <c r="K11">
        <f>(VLOOKUP(B11,'sampling distribution'!$A$1:$C$9,2,FALSE)+VLOOKUP(C11,'sampling distribution'!$A$1:$C$9,2,FALSE)+VLOOKUP(D11,'sampling distribution'!$A$1:$C$9,2,FALSE)+VLOOKUP(E11,'sampling distribution'!$A$1:$C$9,2,FALSE))/4</f>
        <v>6</v>
      </c>
      <c r="L11">
        <f>(VLOOKUP(B11,'sampling distribution'!$A$1:$C$9,3,FALSE)+VLOOKUP(C11,'sampling distribution'!$A$1:$C$9,3,FALSE)+VLOOKUP(D11,'sampling distribution'!$A$1:$C$9,3,FALSE)+VLOOKUP(E11,'sampling distribution'!$A$1:$C$9,3,FALSE))/4</f>
        <v>4.25</v>
      </c>
      <c r="M11">
        <f t="shared" si="0"/>
        <v>0.70833333333333337</v>
      </c>
      <c r="N11">
        <f>(VLOOKUP(B11,'sampling distribution'!$A$1:$C$9,3,FALSE)+VLOOKUP(C11,'sampling distribution'!$A$1:$C$9,3,FALSE)+VLOOKUP(D11,'sampling distribution'!$A$1:$C$9,3,FALSE)+VLOOKUP(E11,'sampling distribution'!$A$1:$C$9,3,FALSE))*2</f>
        <v>34</v>
      </c>
      <c r="O11">
        <f>M11*SUM('sampling distribution'!$B$2:$B$9)</f>
        <v>33.291666666666671</v>
      </c>
    </row>
    <row r="12" spans="1:15" x14ac:dyDescent="0.2">
      <c r="A12">
        <v>11</v>
      </c>
      <c r="B12">
        <v>1</v>
      </c>
      <c r="C12">
        <v>2</v>
      </c>
      <c r="D12">
        <v>5</v>
      </c>
      <c r="E12">
        <v>7</v>
      </c>
      <c r="F12">
        <v>6</v>
      </c>
      <c r="G12">
        <v>4.25</v>
      </c>
      <c r="H12">
        <v>0.70833330000000005</v>
      </c>
      <c r="I12">
        <v>34</v>
      </c>
      <c r="J12">
        <v>33.291670000000003</v>
      </c>
      <c r="K12">
        <f>(VLOOKUP(B12,'sampling distribution'!$A$1:$C$9,2,FALSE)+VLOOKUP(C12,'sampling distribution'!$A$1:$C$9,2,FALSE)+VLOOKUP(D12,'sampling distribution'!$A$1:$C$9,2,FALSE)+VLOOKUP(E12,'sampling distribution'!$A$1:$C$9,2,FALSE))/4</f>
        <v>6</v>
      </c>
      <c r="L12">
        <f>(VLOOKUP(B12,'sampling distribution'!$A$1:$C$9,3,FALSE)+VLOOKUP(C12,'sampling distribution'!$A$1:$C$9,3,FALSE)+VLOOKUP(D12,'sampling distribution'!$A$1:$C$9,3,FALSE)+VLOOKUP(E12,'sampling distribution'!$A$1:$C$9,3,FALSE))/4</f>
        <v>4.25</v>
      </c>
      <c r="M12">
        <f t="shared" si="0"/>
        <v>0.70833333333333337</v>
      </c>
      <c r="N12">
        <f>(VLOOKUP(B12,'sampling distribution'!$A$1:$C$9,3,FALSE)+VLOOKUP(C12,'sampling distribution'!$A$1:$C$9,3,FALSE)+VLOOKUP(D12,'sampling distribution'!$A$1:$C$9,3,FALSE)+VLOOKUP(E12,'sampling distribution'!$A$1:$C$9,3,FALSE))*2</f>
        <v>34</v>
      </c>
      <c r="O12">
        <f>M12*SUM('sampling distribution'!$B$2:$B$9)</f>
        <v>33.291666666666671</v>
      </c>
    </row>
    <row r="13" spans="1:15" x14ac:dyDescent="0.2">
      <c r="A13">
        <v>12</v>
      </c>
      <c r="B13">
        <v>1</v>
      </c>
      <c r="C13">
        <v>2</v>
      </c>
      <c r="D13">
        <v>5</v>
      </c>
      <c r="E13">
        <v>8</v>
      </c>
      <c r="F13">
        <v>5.5</v>
      </c>
      <c r="G13">
        <v>4.5</v>
      </c>
      <c r="H13">
        <v>0.81818179999999996</v>
      </c>
      <c r="I13">
        <v>36</v>
      </c>
      <c r="J13">
        <v>38.454549999999998</v>
      </c>
      <c r="K13">
        <f>(VLOOKUP(B13,'sampling distribution'!$A$1:$C$9,2,FALSE)+VLOOKUP(C13,'sampling distribution'!$A$1:$C$9,2,FALSE)+VLOOKUP(D13,'sampling distribution'!$A$1:$C$9,2,FALSE)+VLOOKUP(E13,'sampling distribution'!$A$1:$C$9,2,FALSE))/4</f>
        <v>5.5</v>
      </c>
      <c r="L13">
        <f>(VLOOKUP(B13,'sampling distribution'!$A$1:$C$9,3,FALSE)+VLOOKUP(C13,'sampling distribution'!$A$1:$C$9,3,FALSE)+VLOOKUP(D13,'sampling distribution'!$A$1:$C$9,3,FALSE)+VLOOKUP(E13,'sampling distribution'!$A$1:$C$9,3,FALSE))/4</f>
        <v>4.5</v>
      </c>
      <c r="M13">
        <f t="shared" si="0"/>
        <v>0.81818181818181823</v>
      </c>
      <c r="N13">
        <f>(VLOOKUP(B13,'sampling distribution'!$A$1:$C$9,3,FALSE)+VLOOKUP(C13,'sampling distribution'!$A$1:$C$9,3,FALSE)+VLOOKUP(D13,'sampling distribution'!$A$1:$C$9,3,FALSE)+VLOOKUP(E13,'sampling distribution'!$A$1:$C$9,3,FALSE))*2</f>
        <v>36</v>
      </c>
      <c r="O13">
        <f>M13*SUM('sampling distribution'!$B$2:$B$9)</f>
        <v>38.45454545454546</v>
      </c>
    </row>
    <row r="14" spans="1:15" x14ac:dyDescent="0.2">
      <c r="A14">
        <v>13</v>
      </c>
      <c r="B14">
        <v>1</v>
      </c>
      <c r="C14">
        <v>2</v>
      </c>
      <c r="D14">
        <v>6</v>
      </c>
      <c r="E14">
        <v>7</v>
      </c>
      <c r="F14">
        <v>5.75</v>
      </c>
      <c r="G14">
        <v>4.25</v>
      </c>
      <c r="H14">
        <v>0.73913039999999997</v>
      </c>
      <c r="I14">
        <v>34</v>
      </c>
      <c r="J14">
        <v>34.739130000000003</v>
      </c>
      <c r="K14">
        <f>(VLOOKUP(B14,'sampling distribution'!$A$1:$C$9,2,FALSE)+VLOOKUP(C14,'sampling distribution'!$A$1:$C$9,2,FALSE)+VLOOKUP(D14,'sampling distribution'!$A$1:$C$9,2,FALSE)+VLOOKUP(E14,'sampling distribution'!$A$1:$C$9,2,FALSE))/4</f>
        <v>5.75</v>
      </c>
      <c r="L14">
        <f>(VLOOKUP(B14,'sampling distribution'!$A$1:$C$9,3,FALSE)+VLOOKUP(C14,'sampling distribution'!$A$1:$C$9,3,FALSE)+VLOOKUP(D14,'sampling distribution'!$A$1:$C$9,3,FALSE)+VLOOKUP(E14,'sampling distribution'!$A$1:$C$9,3,FALSE))/4</f>
        <v>4.25</v>
      </c>
      <c r="M14">
        <f t="shared" si="0"/>
        <v>0.73913043478260865</v>
      </c>
      <c r="N14">
        <f>(VLOOKUP(B14,'sampling distribution'!$A$1:$C$9,3,FALSE)+VLOOKUP(C14,'sampling distribution'!$A$1:$C$9,3,FALSE)+VLOOKUP(D14,'sampling distribution'!$A$1:$C$9,3,FALSE)+VLOOKUP(E14,'sampling distribution'!$A$1:$C$9,3,FALSE))*2</f>
        <v>34</v>
      </c>
      <c r="O14">
        <f>M14*SUM('sampling distribution'!$B$2:$B$9)</f>
        <v>34.739130434782609</v>
      </c>
    </row>
    <row r="15" spans="1:15" x14ac:dyDescent="0.2">
      <c r="A15">
        <v>14</v>
      </c>
      <c r="B15">
        <v>1</v>
      </c>
      <c r="C15">
        <v>2</v>
      </c>
      <c r="D15">
        <v>6</v>
      </c>
      <c r="E15">
        <v>8</v>
      </c>
      <c r="F15">
        <v>5.25</v>
      </c>
      <c r="G15">
        <v>4.5</v>
      </c>
      <c r="H15">
        <v>0.85714290000000004</v>
      </c>
      <c r="I15">
        <v>36</v>
      </c>
      <c r="J15">
        <v>40.285710000000002</v>
      </c>
      <c r="K15">
        <f>(VLOOKUP(B15,'sampling distribution'!$A$1:$C$9,2,FALSE)+VLOOKUP(C15,'sampling distribution'!$A$1:$C$9,2,FALSE)+VLOOKUP(D15,'sampling distribution'!$A$1:$C$9,2,FALSE)+VLOOKUP(E15,'sampling distribution'!$A$1:$C$9,2,FALSE))/4</f>
        <v>5.25</v>
      </c>
      <c r="L15">
        <f>(VLOOKUP(B15,'sampling distribution'!$A$1:$C$9,3,FALSE)+VLOOKUP(C15,'sampling distribution'!$A$1:$C$9,3,FALSE)+VLOOKUP(D15,'sampling distribution'!$A$1:$C$9,3,FALSE)+VLOOKUP(E15,'sampling distribution'!$A$1:$C$9,3,FALSE))/4</f>
        <v>4.5</v>
      </c>
      <c r="M15">
        <f t="shared" si="0"/>
        <v>0.8571428571428571</v>
      </c>
      <c r="N15">
        <f>(VLOOKUP(B15,'sampling distribution'!$A$1:$C$9,3,FALSE)+VLOOKUP(C15,'sampling distribution'!$A$1:$C$9,3,FALSE)+VLOOKUP(D15,'sampling distribution'!$A$1:$C$9,3,FALSE)+VLOOKUP(E15,'sampling distribution'!$A$1:$C$9,3,FALSE))*2</f>
        <v>36</v>
      </c>
      <c r="O15">
        <f>M15*SUM('sampling distribution'!$B$2:$B$9)</f>
        <v>40.285714285714285</v>
      </c>
    </row>
    <row r="16" spans="1:15" x14ac:dyDescent="0.2">
      <c r="A16">
        <v>15</v>
      </c>
      <c r="B16">
        <v>1</v>
      </c>
      <c r="C16">
        <v>2</v>
      </c>
      <c r="D16">
        <v>7</v>
      </c>
      <c r="E16">
        <v>8</v>
      </c>
      <c r="F16">
        <v>5.25</v>
      </c>
      <c r="G16">
        <v>4.5</v>
      </c>
      <c r="H16">
        <v>0.85714290000000004</v>
      </c>
      <c r="I16">
        <v>36</v>
      </c>
      <c r="J16">
        <v>40.285710000000002</v>
      </c>
      <c r="K16">
        <f>(VLOOKUP(B16,'sampling distribution'!$A$1:$C$9,2,FALSE)+VLOOKUP(C16,'sampling distribution'!$A$1:$C$9,2,FALSE)+VLOOKUP(D16,'sampling distribution'!$A$1:$C$9,2,FALSE)+VLOOKUP(E16,'sampling distribution'!$A$1:$C$9,2,FALSE))/4</f>
        <v>5.25</v>
      </c>
      <c r="L16">
        <f>(VLOOKUP(B16,'sampling distribution'!$A$1:$C$9,3,FALSE)+VLOOKUP(C16,'sampling distribution'!$A$1:$C$9,3,FALSE)+VLOOKUP(D16,'sampling distribution'!$A$1:$C$9,3,FALSE)+VLOOKUP(E16,'sampling distribution'!$A$1:$C$9,3,FALSE))/4</f>
        <v>4.5</v>
      </c>
      <c r="M16">
        <f t="shared" si="0"/>
        <v>0.8571428571428571</v>
      </c>
      <c r="N16">
        <f>(VLOOKUP(B16,'sampling distribution'!$A$1:$C$9,3,FALSE)+VLOOKUP(C16,'sampling distribution'!$A$1:$C$9,3,FALSE)+VLOOKUP(D16,'sampling distribution'!$A$1:$C$9,3,FALSE)+VLOOKUP(E16,'sampling distribution'!$A$1:$C$9,3,FALSE))*2</f>
        <v>36</v>
      </c>
      <c r="O16">
        <f>M16*SUM('sampling distribution'!$B$2:$B$9)</f>
        <v>40.285714285714285</v>
      </c>
    </row>
    <row r="17" spans="1:15" x14ac:dyDescent="0.2">
      <c r="A17">
        <v>16</v>
      </c>
      <c r="B17">
        <v>1</v>
      </c>
      <c r="C17">
        <v>3</v>
      </c>
      <c r="D17">
        <v>4</v>
      </c>
      <c r="E17">
        <v>5</v>
      </c>
      <c r="F17">
        <v>5.75</v>
      </c>
      <c r="G17">
        <v>4</v>
      </c>
      <c r="H17">
        <v>0.69565220000000005</v>
      </c>
      <c r="I17">
        <v>32</v>
      </c>
      <c r="J17">
        <v>32.695650000000001</v>
      </c>
      <c r="K17">
        <f>(VLOOKUP(B17,'sampling distribution'!$A$1:$C$9,2,FALSE)+VLOOKUP(C17,'sampling distribution'!$A$1:$C$9,2,FALSE)+VLOOKUP(D17,'sampling distribution'!$A$1:$C$9,2,FALSE)+VLOOKUP(E17,'sampling distribution'!$A$1:$C$9,2,FALSE))/4</f>
        <v>5.75</v>
      </c>
      <c r="L17">
        <f>(VLOOKUP(B17,'sampling distribution'!$A$1:$C$9,3,FALSE)+VLOOKUP(C17,'sampling distribution'!$A$1:$C$9,3,FALSE)+VLOOKUP(D17,'sampling distribution'!$A$1:$C$9,3,FALSE)+VLOOKUP(E17,'sampling distribution'!$A$1:$C$9,3,FALSE))/4</f>
        <v>4</v>
      </c>
      <c r="M17">
        <f t="shared" si="0"/>
        <v>0.69565217391304346</v>
      </c>
      <c r="N17">
        <f>(VLOOKUP(B17,'sampling distribution'!$A$1:$C$9,3,FALSE)+VLOOKUP(C17,'sampling distribution'!$A$1:$C$9,3,FALSE)+VLOOKUP(D17,'sampling distribution'!$A$1:$C$9,3,FALSE)+VLOOKUP(E17,'sampling distribution'!$A$1:$C$9,3,FALSE))*2</f>
        <v>32</v>
      </c>
      <c r="O17">
        <f>M17*SUM('sampling distribution'!$B$2:$B$9)</f>
        <v>32.695652173913039</v>
      </c>
    </row>
    <row r="18" spans="1:15" x14ac:dyDescent="0.2">
      <c r="A18">
        <v>17</v>
      </c>
      <c r="B18">
        <v>1</v>
      </c>
      <c r="C18">
        <v>3</v>
      </c>
      <c r="D18">
        <v>4</v>
      </c>
      <c r="E18">
        <v>6</v>
      </c>
      <c r="F18">
        <v>5.5</v>
      </c>
      <c r="G18">
        <v>4</v>
      </c>
      <c r="H18">
        <v>0.72727269999999999</v>
      </c>
      <c r="I18">
        <v>32</v>
      </c>
      <c r="J18">
        <v>34.181820000000002</v>
      </c>
      <c r="K18">
        <f>(VLOOKUP(B18,'sampling distribution'!$A$1:$C$9,2,FALSE)+VLOOKUP(C18,'sampling distribution'!$A$1:$C$9,2,FALSE)+VLOOKUP(D18,'sampling distribution'!$A$1:$C$9,2,FALSE)+VLOOKUP(E18,'sampling distribution'!$A$1:$C$9,2,FALSE))/4</f>
        <v>5.5</v>
      </c>
      <c r="L18">
        <f>(VLOOKUP(B18,'sampling distribution'!$A$1:$C$9,3,FALSE)+VLOOKUP(C18,'sampling distribution'!$A$1:$C$9,3,FALSE)+VLOOKUP(D18,'sampling distribution'!$A$1:$C$9,3,FALSE)+VLOOKUP(E18,'sampling distribution'!$A$1:$C$9,3,FALSE))/4</f>
        <v>4</v>
      </c>
      <c r="M18">
        <f t="shared" si="0"/>
        <v>0.72727272727272729</v>
      </c>
      <c r="N18">
        <f>(VLOOKUP(B18,'sampling distribution'!$A$1:$C$9,3,FALSE)+VLOOKUP(C18,'sampling distribution'!$A$1:$C$9,3,FALSE)+VLOOKUP(D18,'sampling distribution'!$A$1:$C$9,3,FALSE)+VLOOKUP(E18,'sampling distribution'!$A$1:$C$9,3,FALSE))*2</f>
        <v>32</v>
      </c>
      <c r="O18">
        <f>M18*SUM('sampling distribution'!$B$2:$B$9)</f>
        <v>34.18181818181818</v>
      </c>
    </row>
    <row r="19" spans="1:15" x14ac:dyDescent="0.2">
      <c r="A19">
        <v>18</v>
      </c>
      <c r="B19">
        <v>1</v>
      </c>
      <c r="C19">
        <v>3</v>
      </c>
      <c r="D19">
        <v>4</v>
      </c>
      <c r="E19">
        <v>7</v>
      </c>
      <c r="F19">
        <v>5.5</v>
      </c>
      <c r="G19">
        <v>4</v>
      </c>
      <c r="H19">
        <v>0.72727269999999999</v>
      </c>
      <c r="I19">
        <v>32</v>
      </c>
      <c r="J19">
        <v>34.181820000000002</v>
      </c>
      <c r="K19">
        <f>(VLOOKUP(B19,'sampling distribution'!$A$1:$C$9,2,FALSE)+VLOOKUP(C19,'sampling distribution'!$A$1:$C$9,2,FALSE)+VLOOKUP(D19,'sampling distribution'!$A$1:$C$9,2,FALSE)+VLOOKUP(E19,'sampling distribution'!$A$1:$C$9,2,FALSE))/4</f>
        <v>5.5</v>
      </c>
      <c r="L19">
        <f>(VLOOKUP(B19,'sampling distribution'!$A$1:$C$9,3,FALSE)+VLOOKUP(C19,'sampling distribution'!$A$1:$C$9,3,FALSE)+VLOOKUP(D19,'sampling distribution'!$A$1:$C$9,3,FALSE)+VLOOKUP(E19,'sampling distribution'!$A$1:$C$9,3,FALSE))/4</f>
        <v>4</v>
      </c>
      <c r="M19">
        <f t="shared" si="0"/>
        <v>0.72727272727272729</v>
      </c>
      <c r="N19">
        <f>(VLOOKUP(B19,'sampling distribution'!$A$1:$C$9,3,FALSE)+VLOOKUP(C19,'sampling distribution'!$A$1:$C$9,3,FALSE)+VLOOKUP(D19,'sampling distribution'!$A$1:$C$9,3,FALSE)+VLOOKUP(E19,'sampling distribution'!$A$1:$C$9,3,FALSE))*2</f>
        <v>32</v>
      </c>
      <c r="O19">
        <f>M19*SUM('sampling distribution'!$B$2:$B$9)</f>
        <v>34.18181818181818</v>
      </c>
    </row>
    <row r="20" spans="1:15" x14ac:dyDescent="0.2">
      <c r="A20">
        <v>19</v>
      </c>
      <c r="B20">
        <v>1</v>
      </c>
      <c r="C20">
        <v>3</v>
      </c>
      <c r="D20">
        <v>4</v>
      </c>
      <c r="E20">
        <v>8</v>
      </c>
      <c r="F20">
        <v>5</v>
      </c>
      <c r="G20">
        <v>4.25</v>
      </c>
      <c r="H20">
        <v>0.85</v>
      </c>
      <c r="I20">
        <v>34</v>
      </c>
      <c r="J20">
        <v>39.950000000000003</v>
      </c>
      <c r="K20">
        <f>(VLOOKUP(B20,'sampling distribution'!$A$1:$C$9,2,FALSE)+VLOOKUP(C20,'sampling distribution'!$A$1:$C$9,2,FALSE)+VLOOKUP(D20,'sampling distribution'!$A$1:$C$9,2,FALSE)+VLOOKUP(E20,'sampling distribution'!$A$1:$C$9,2,FALSE))/4</f>
        <v>5</v>
      </c>
      <c r="L20">
        <f>(VLOOKUP(B20,'sampling distribution'!$A$1:$C$9,3,FALSE)+VLOOKUP(C20,'sampling distribution'!$A$1:$C$9,3,FALSE)+VLOOKUP(D20,'sampling distribution'!$A$1:$C$9,3,FALSE)+VLOOKUP(E20,'sampling distribution'!$A$1:$C$9,3,FALSE))/4</f>
        <v>4.25</v>
      </c>
      <c r="M20">
        <f t="shared" si="0"/>
        <v>0.85</v>
      </c>
      <c r="N20">
        <f>(VLOOKUP(B20,'sampling distribution'!$A$1:$C$9,3,FALSE)+VLOOKUP(C20,'sampling distribution'!$A$1:$C$9,3,FALSE)+VLOOKUP(D20,'sampling distribution'!$A$1:$C$9,3,FALSE)+VLOOKUP(E20,'sampling distribution'!$A$1:$C$9,3,FALSE))*2</f>
        <v>34</v>
      </c>
      <c r="O20">
        <f>M20*SUM('sampling distribution'!$B$2:$B$9)</f>
        <v>39.949999999999996</v>
      </c>
    </row>
    <row r="21" spans="1:15" x14ac:dyDescent="0.2">
      <c r="A21">
        <v>20</v>
      </c>
      <c r="B21">
        <v>1</v>
      </c>
      <c r="C21">
        <v>3</v>
      </c>
      <c r="D21">
        <v>5</v>
      </c>
      <c r="E21">
        <v>6</v>
      </c>
      <c r="F21">
        <v>6</v>
      </c>
      <c r="G21">
        <v>4.75</v>
      </c>
      <c r="H21">
        <v>0.79166669999999995</v>
      </c>
      <c r="I21">
        <v>38</v>
      </c>
      <c r="J21">
        <v>37.208329999999997</v>
      </c>
      <c r="K21">
        <f>(VLOOKUP(B21,'sampling distribution'!$A$1:$C$9,2,FALSE)+VLOOKUP(C21,'sampling distribution'!$A$1:$C$9,2,FALSE)+VLOOKUP(D21,'sampling distribution'!$A$1:$C$9,2,FALSE)+VLOOKUP(E21,'sampling distribution'!$A$1:$C$9,2,FALSE))/4</f>
        <v>6</v>
      </c>
      <c r="L21">
        <f>(VLOOKUP(B21,'sampling distribution'!$A$1:$C$9,3,FALSE)+VLOOKUP(C21,'sampling distribution'!$A$1:$C$9,3,FALSE)+VLOOKUP(D21,'sampling distribution'!$A$1:$C$9,3,FALSE)+VLOOKUP(E21,'sampling distribution'!$A$1:$C$9,3,FALSE))/4</f>
        <v>4.75</v>
      </c>
      <c r="M21">
        <f t="shared" si="0"/>
        <v>0.79166666666666663</v>
      </c>
      <c r="N21">
        <f>(VLOOKUP(B21,'sampling distribution'!$A$1:$C$9,3,FALSE)+VLOOKUP(C21,'sampling distribution'!$A$1:$C$9,3,FALSE)+VLOOKUP(D21,'sampling distribution'!$A$1:$C$9,3,FALSE)+VLOOKUP(E21,'sampling distribution'!$A$1:$C$9,3,FALSE))*2</f>
        <v>38</v>
      </c>
      <c r="O21">
        <f>M21*SUM('sampling distribution'!$B$2:$B$9)</f>
        <v>37.208333333333329</v>
      </c>
    </row>
    <row r="22" spans="1:15" x14ac:dyDescent="0.2">
      <c r="A22">
        <v>21</v>
      </c>
      <c r="B22">
        <v>1</v>
      </c>
      <c r="C22">
        <v>3</v>
      </c>
      <c r="D22">
        <v>5</v>
      </c>
      <c r="E22">
        <v>7</v>
      </c>
      <c r="F22">
        <v>6</v>
      </c>
      <c r="G22">
        <v>4.75</v>
      </c>
      <c r="H22">
        <v>0.79166669999999995</v>
      </c>
      <c r="I22">
        <v>38</v>
      </c>
      <c r="J22">
        <v>37.208329999999997</v>
      </c>
      <c r="K22">
        <f>(VLOOKUP(B22,'sampling distribution'!$A$1:$C$9,2,FALSE)+VLOOKUP(C22,'sampling distribution'!$A$1:$C$9,2,FALSE)+VLOOKUP(D22,'sampling distribution'!$A$1:$C$9,2,FALSE)+VLOOKUP(E22,'sampling distribution'!$A$1:$C$9,2,FALSE))/4</f>
        <v>6</v>
      </c>
      <c r="L22">
        <f>(VLOOKUP(B22,'sampling distribution'!$A$1:$C$9,3,FALSE)+VLOOKUP(C22,'sampling distribution'!$A$1:$C$9,3,FALSE)+VLOOKUP(D22,'sampling distribution'!$A$1:$C$9,3,FALSE)+VLOOKUP(E22,'sampling distribution'!$A$1:$C$9,3,FALSE))/4</f>
        <v>4.75</v>
      </c>
      <c r="M22">
        <f t="shared" si="0"/>
        <v>0.79166666666666663</v>
      </c>
      <c r="N22">
        <f>(VLOOKUP(B22,'sampling distribution'!$A$1:$C$9,3,FALSE)+VLOOKUP(C22,'sampling distribution'!$A$1:$C$9,3,FALSE)+VLOOKUP(D22,'sampling distribution'!$A$1:$C$9,3,FALSE)+VLOOKUP(E22,'sampling distribution'!$A$1:$C$9,3,FALSE))*2</f>
        <v>38</v>
      </c>
      <c r="O22">
        <f>M22*SUM('sampling distribution'!$B$2:$B$9)</f>
        <v>37.208333333333329</v>
      </c>
    </row>
    <row r="23" spans="1:15" x14ac:dyDescent="0.2">
      <c r="A23">
        <v>22</v>
      </c>
      <c r="B23">
        <v>1</v>
      </c>
      <c r="C23">
        <v>3</v>
      </c>
      <c r="D23">
        <v>5</v>
      </c>
      <c r="E23">
        <v>8</v>
      </c>
      <c r="F23">
        <v>5.5</v>
      </c>
      <c r="G23">
        <v>5</v>
      </c>
      <c r="H23">
        <v>0.90909090000000004</v>
      </c>
      <c r="I23">
        <v>40</v>
      </c>
      <c r="J23">
        <v>42.727269999999997</v>
      </c>
      <c r="K23">
        <f>(VLOOKUP(B23,'sampling distribution'!$A$1:$C$9,2,FALSE)+VLOOKUP(C23,'sampling distribution'!$A$1:$C$9,2,FALSE)+VLOOKUP(D23,'sampling distribution'!$A$1:$C$9,2,FALSE)+VLOOKUP(E23,'sampling distribution'!$A$1:$C$9,2,FALSE))/4</f>
        <v>5.5</v>
      </c>
      <c r="L23">
        <f>(VLOOKUP(B23,'sampling distribution'!$A$1:$C$9,3,FALSE)+VLOOKUP(C23,'sampling distribution'!$A$1:$C$9,3,FALSE)+VLOOKUP(D23,'sampling distribution'!$A$1:$C$9,3,FALSE)+VLOOKUP(E23,'sampling distribution'!$A$1:$C$9,3,FALSE))/4</f>
        <v>5</v>
      </c>
      <c r="M23">
        <f t="shared" si="0"/>
        <v>0.90909090909090906</v>
      </c>
      <c r="N23">
        <f>(VLOOKUP(B23,'sampling distribution'!$A$1:$C$9,3,FALSE)+VLOOKUP(C23,'sampling distribution'!$A$1:$C$9,3,FALSE)+VLOOKUP(D23,'sampling distribution'!$A$1:$C$9,3,FALSE)+VLOOKUP(E23,'sampling distribution'!$A$1:$C$9,3,FALSE))*2</f>
        <v>40</v>
      </c>
      <c r="O23">
        <f>M23*SUM('sampling distribution'!$B$2:$B$9)</f>
        <v>42.727272727272727</v>
      </c>
    </row>
    <row r="24" spans="1:15" x14ac:dyDescent="0.2">
      <c r="A24">
        <v>23</v>
      </c>
      <c r="B24">
        <v>1</v>
      </c>
      <c r="C24">
        <v>3</v>
      </c>
      <c r="D24">
        <v>6</v>
      </c>
      <c r="E24">
        <v>7</v>
      </c>
      <c r="F24">
        <v>5.75</v>
      </c>
      <c r="G24">
        <v>4.75</v>
      </c>
      <c r="H24">
        <v>0.82608700000000002</v>
      </c>
      <c r="I24">
        <v>38</v>
      </c>
      <c r="J24">
        <v>38.826090000000001</v>
      </c>
      <c r="K24">
        <f>(VLOOKUP(B24,'sampling distribution'!$A$1:$C$9,2,FALSE)+VLOOKUP(C24,'sampling distribution'!$A$1:$C$9,2,FALSE)+VLOOKUP(D24,'sampling distribution'!$A$1:$C$9,2,FALSE)+VLOOKUP(E24,'sampling distribution'!$A$1:$C$9,2,FALSE))/4</f>
        <v>5.75</v>
      </c>
      <c r="L24">
        <f>(VLOOKUP(B24,'sampling distribution'!$A$1:$C$9,3,FALSE)+VLOOKUP(C24,'sampling distribution'!$A$1:$C$9,3,FALSE)+VLOOKUP(D24,'sampling distribution'!$A$1:$C$9,3,FALSE)+VLOOKUP(E24,'sampling distribution'!$A$1:$C$9,3,FALSE))/4</f>
        <v>4.75</v>
      </c>
      <c r="M24">
        <f t="shared" si="0"/>
        <v>0.82608695652173914</v>
      </c>
      <c r="N24">
        <f>(VLOOKUP(B24,'sampling distribution'!$A$1:$C$9,3,FALSE)+VLOOKUP(C24,'sampling distribution'!$A$1:$C$9,3,FALSE)+VLOOKUP(D24,'sampling distribution'!$A$1:$C$9,3,FALSE)+VLOOKUP(E24,'sampling distribution'!$A$1:$C$9,3,FALSE))*2</f>
        <v>38</v>
      </c>
      <c r="O24">
        <f>M24*SUM('sampling distribution'!$B$2:$B$9)</f>
        <v>38.826086956521742</v>
      </c>
    </row>
    <row r="25" spans="1:15" x14ac:dyDescent="0.2">
      <c r="A25">
        <v>24</v>
      </c>
      <c r="B25">
        <v>1</v>
      </c>
      <c r="C25">
        <v>3</v>
      </c>
      <c r="D25">
        <v>6</v>
      </c>
      <c r="E25">
        <v>8</v>
      </c>
      <c r="F25">
        <v>5.25</v>
      </c>
      <c r="G25">
        <v>5</v>
      </c>
      <c r="H25">
        <v>0.95238100000000003</v>
      </c>
      <c r="I25">
        <v>40</v>
      </c>
      <c r="J25">
        <v>44.761899999999997</v>
      </c>
      <c r="K25">
        <f>(VLOOKUP(B25,'sampling distribution'!$A$1:$C$9,2,FALSE)+VLOOKUP(C25,'sampling distribution'!$A$1:$C$9,2,FALSE)+VLOOKUP(D25,'sampling distribution'!$A$1:$C$9,2,FALSE)+VLOOKUP(E25,'sampling distribution'!$A$1:$C$9,2,FALSE))/4</f>
        <v>5.25</v>
      </c>
      <c r="L25">
        <f>(VLOOKUP(B25,'sampling distribution'!$A$1:$C$9,3,FALSE)+VLOOKUP(C25,'sampling distribution'!$A$1:$C$9,3,FALSE)+VLOOKUP(D25,'sampling distribution'!$A$1:$C$9,3,FALSE)+VLOOKUP(E25,'sampling distribution'!$A$1:$C$9,3,FALSE))/4</f>
        <v>5</v>
      </c>
      <c r="M25">
        <f t="shared" si="0"/>
        <v>0.95238095238095233</v>
      </c>
      <c r="N25">
        <f>(VLOOKUP(B25,'sampling distribution'!$A$1:$C$9,3,FALSE)+VLOOKUP(C25,'sampling distribution'!$A$1:$C$9,3,FALSE)+VLOOKUP(D25,'sampling distribution'!$A$1:$C$9,3,FALSE)+VLOOKUP(E25,'sampling distribution'!$A$1:$C$9,3,FALSE))*2</f>
        <v>40</v>
      </c>
      <c r="O25">
        <f>M25*SUM('sampling distribution'!$B$2:$B$9)</f>
        <v>44.761904761904759</v>
      </c>
    </row>
    <row r="26" spans="1:15" x14ac:dyDescent="0.2">
      <c r="A26">
        <v>25</v>
      </c>
      <c r="B26">
        <v>1</v>
      </c>
      <c r="C26">
        <v>3</v>
      </c>
      <c r="D26">
        <v>7</v>
      </c>
      <c r="E26">
        <v>8</v>
      </c>
      <c r="F26">
        <v>5.25</v>
      </c>
      <c r="G26">
        <v>5</v>
      </c>
      <c r="H26">
        <v>0.95238100000000003</v>
      </c>
      <c r="I26">
        <v>40</v>
      </c>
      <c r="J26">
        <v>44.761899999999997</v>
      </c>
      <c r="K26">
        <f>(VLOOKUP(B26,'sampling distribution'!$A$1:$C$9,2,FALSE)+VLOOKUP(C26,'sampling distribution'!$A$1:$C$9,2,FALSE)+VLOOKUP(D26,'sampling distribution'!$A$1:$C$9,2,FALSE)+VLOOKUP(E26,'sampling distribution'!$A$1:$C$9,2,FALSE))/4</f>
        <v>5.25</v>
      </c>
      <c r="L26">
        <f>(VLOOKUP(B26,'sampling distribution'!$A$1:$C$9,3,FALSE)+VLOOKUP(C26,'sampling distribution'!$A$1:$C$9,3,FALSE)+VLOOKUP(D26,'sampling distribution'!$A$1:$C$9,3,FALSE)+VLOOKUP(E26,'sampling distribution'!$A$1:$C$9,3,FALSE))/4</f>
        <v>5</v>
      </c>
      <c r="M26">
        <f t="shared" si="0"/>
        <v>0.95238095238095233</v>
      </c>
      <c r="N26">
        <f>(VLOOKUP(B26,'sampling distribution'!$A$1:$C$9,3,FALSE)+VLOOKUP(C26,'sampling distribution'!$A$1:$C$9,3,FALSE)+VLOOKUP(D26,'sampling distribution'!$A$1:$C$9,3,FALSE)+VLOOKUP(E26,'sampling distribution'!$A$1:$C$9,3,FALSE))*2</f>
        <v>40</v>
      </c>
      <c r="O26">
        <f>M26*SUM('sampling distribution'!$B$2:$B$9)</f>
        <v>44.761904761904759</v>
      </c>
    </row>
    <row r="27" spans="1:15" x14ac:dyDescent="0.2">
      <c r="A27">
        <v>26</v>
      </c>
      <c r="B27">
        <v>1</v>
      </c>
      <c r="C27">
        <v>4</v>
      </c>
      <c r="D27">
        <v>5</v>
      </c>
      <c r="E27">
        <v>6</v>
      </c>
      <c r="F27">
        <v>6.25</v>
      </c>
      <c r="G27">
        <v>4.75</v>
      </c>
      <c r="H27">
        <v>0.76</v>
      </c>
      <c r="I27">
        <v>38</v>
      </c>
      <c r="J27">
        <v>35.72</v>
      </c>
      <c r="K27">
        <f>(VLOOKUP(B27,'sampling distribution'!$A$1:$C$9,2,FALSE)+VLOOKUP(C27,'sampling distribution'!$A$1:$C$9,2,FALSE)+VLOOKUP(D27,'sampling distribution'!$A$1:$C$9,2,FALSE)+VLOOKUP(E27,'sampling distribution'!$A$1:$C$9,2,FALSE))/4</f>
        <v>6.25</v>
      </c>
      <c r="L27">
        <f>(VLOOKUP(B27,'sampling distribution'!$A$1:$C$9,3,FALSE)+VLOOKUP(C27,'sampling distribution'!$A$1:$C$9,3,FALSE)+VLOOKUP(D27,'sampling distribution'!$A$1:$C$9,3,FALSE)+VLOOKUP(E27,'sampling distribution'!$A$1:$C$9,3,FALSE))/4</f>
        <v>4.75</v>
      </c>
      <c r="M27">
        <f t="shared" si="0"/>
        <v>0.76</v>
      </c>
      <c r="N27">
        <f>(VLOOKUP(B27,'sampling distribution'!$A$1:$C$9,3,FALSE)+VLOOKUP(C27,'sampling distribution'!$A$1:$C$9,3,FALSE)+VLOOKUP(D27,'sampling distribution'!$A$1:$C$9,3,FALSE)+VLOOKUP(E27,'sampling distribution'!$A$1:$C$9,3,FALSE))*2</f>
        <v>38</v>
      </c>
      <c r="O27">
        <f>M27*SUM('sampling distribution'!$B$2:$B$9)</f>
        <v>35.72</v>
      </c>
    </row>
    <row r="28" spans="1:15" x14ac:dyDescent="0.2">
      <c r="A28">
        <v>27</v>
      </c>
      <c r="B28">
        <v>1</v>
      </c>
      <c r="C28">
        <v>4</v>
      </c>
      <c r="D28">
        <v>5</v>
      </c>
      <c r="E28">
        <v>7</v>
      </c>
      <c r="F28">
        <v>6.25</v>
      </c>
      <c r="G28">
        <v>4.75</v>
      </c>
      <c r="H28">
        <v>0.76</v>
      </c>
      <c r="I28">
        <v>38</v>
      </c>
      <c r="J28">
        <v>35.72</v>
      </c>
      <c r="K28">
        <f>(VLOOKUP(B28,'sampling distribution'!$A$1:$C$9,2,FALSE)+VLOOKUP(C28,'sampling distribution'!$A$1:$C$9,2,FALSE)+VLOOKUP(D28,'sampling distribution'!$A$1:$C$9,2,FALSE)+VLOOKUP(E28,'sampling distribution'!$A$1:$C$9,2,FALSE))/4</f>
        <v>6.25</v>
      </c>
      <c r="L28">
        <f>(VLOOKUP(B28,'sampling distribution'!$A$1:$C$9,3,FALSE)+VLOOKUP(C28,'sampling distribution'!$A$1:$C$9,3,FALSE)+VLOOKUP(D28,'sampling distribution'!$A$1:$C$9,3,FALSE)+VLOOKUP(E28,'sampling distribution'!$A$1:$C$9,3,FALSE))/4</f>
        <v>4.75</v>
      </c>
      <c r="M28">
        <f t="shared" si="0"/>
        <v>0.76</v>
      </c>
      <c r="N28">
        <f>(VLOOKUP(B28,'sampling distribution'!$A$1:$C$9,3,FALSE)+VLOOKUP(C28,'sampling distribution'!$A$1:$C$9,3,FALSE)+VLOOKUP(D28,'sampling distribution'!$A$1:$C$9,3,FALSE)+VLOOKUP(E28,'sampling distribution'!$A$1:$C$9,3,FALSE))*2</f>
        <v>38</v>
      </c>
      <c r="O28">
        <f>M28*SUM('sampling distribution'!$B$2:$B$9)</f>
        <v>35.72</v>
      </c>
    </row>
    <row r="29" spans="1:15" x14ac:dyDescent="0.2">
      <c r="A29">
        <v>28</v>
      </c>
      <c r="B29">
        <v>1</v>
      </c>
      <c r="C29">
        <v>4</v>
      </c>
      <c r="D29">
        <v>5</v>
      </c>
      <c r="E29">
        <v>8</v>
      </c>
      <c r="F29">
        <v>5.75</v>
      </c>
      <c r="G29">
        <v>5</v>
      </c>
      <c r="H29">
        <v>0.86956520000000004</v>
      </c>
      <c r="I29">
        <v>40</v>
      </c>
      <c r="J29">
        <v>40.869570000000003</v>
      </c>
      <c r="K29">
        <f>(VLOOKUP(B29,'sampling distribution'!$A$1:$C$9,2,FALSE)+VLOOKUP(C29,'sampling distribution'!$A$1:$C$9,2,FALSE)+VLOOKUP(D29,'sampling distribution'!$A$1:$C$9,2,FALSE)+VLOOKUP(E29,'sampling distribution'!$A$1:$C$9,2,FALSE))/4</f>
        <v>5.75</v>
      </c>
      <c r="L29">
        <f>(VLOOKUP(B29,'sampling distribution'!$A$1:$C$9,3,FALSE)+VLOOKUP(C29,'sampling distribution'!$A$1:$C$9,3,FALSE)+VLOOKUP(D29,'sampling distribution'!$A$1:$C$9,3,FALSE)+VLOOKUP(E29,'sampling distribution'!$A$1:$C$9,3,FALSE))/4</f>
        <v>5</v>
      </c>
      <c r="M29">
        <f t="shared" si="0"/>
        <v>0.86956521739130432</v>
      </c>
      <c r="N29">
        <f>(VLOOKUP(B29,'sampling distribution'!$A$1:$C$9,3,FALSE)+VLOOKUP(C29,'sampling distribution'!$A$1:$C$9,3,FALSE)+VLOOKUP(D29,'sampling distribution'!$A$1:$C$9,3,FALSE)+VLOOKUP(E29,'sampling distribution'!$A$1:$C$9,3,FALSE))*2</f>
        <v>40</v>
      </c>
      <c r="O29">
        <f>M29*SUM('sampling distribution'!$B$2:$B$9)</f>
        <v>40.869565217391305</v>
      </c>
    </row>
    <row r="30" spans="1:15" x14ac:dyDescent="0.2">
      <c r="A30">
        <v>29</v>
      </c>
      <c r="B30">
        <v>1</v>
      </c>
      <c r="C30">
        <v>4</v>
      </c>
      <c r="D30">
        <v>6</v>
      </c>
      <c r="E30">
        <v>7</v>
      </c>
      <c r="F30">
        <v>6</v>
      </c>
      <c r="G30">
        <v>4.75</v>
      </c>
      <c r="H30">
        <v>0.79166669999999995</v>
      </c>
      <c r="I30">
        <v>38</v>
      </c>
      <c r="J30">
        <v>37.208329999999997</v>
      </c>
      <c r="K30">
        <f>(VLOOKUP(B30,'sampling distribution'!$A$1:$C$9,2,FALSE)+VLOOKUP(C30,'sampling distribution'!$A$1:$C$9,2,FALSE)+VLOOKUP(D30,'sampling distribution'!$A$1:$C$9,2,FALSE)+VLOOKUP(E30,'sampling distribution'!$A$1:$C$9,2,FALSE))/4</f>
        <v>6</v>
      </c>
      <c r="L30">
        <f>(VLOOKUP(B30,'sampling distribution'!$A$1:$C$9,3,FALSE)+VLOOKUP(C30,'sampling distribution'!$A$1:$C$9,3,FALSE)+VLOOKUP(D30,'sampling distribution'!$A$1:$C$9,3,FALSE)+VLOOKUP(E30,'sampling distribution'!$A$1:$C$9,3,FALSE))/4</f>
        <v>4.75</v>
      </c>
      <c r="M30">
        <f t="shared" si="0"/>
        <v>0.79166666666666663</v>
      </c>
      <c r="N30">
        <f>(VLOOKUP(B30,'sampling distribution'!$A$1:$C$9,3,FALSE)+VLOOKUP(C30,'sampling distribution'!$A$1:$C$9,3,FALSE)+VLOOKUP(D30,'sampling distribution'!$A$1:$C$9,3,FALSE)+VLOOKUP(E30,'sampling distribution'!$A$1:$C$9,3,FALSE))*2</f>
        <v>38</v>
      </c>
      <c r="O30">
        <f>M30*SUM('sampling distribution'!$B$2:$B$9)</f>
        <v>37.208333333333329</v>
      </c>
    </row>
    <row r="31" spans="1:15" x14ac:dyDescent="0.2">
      <c r="A31">
        <v>30</v>
      </c>
      <c r="B31">
        <v>1</v>
      </c>
      <c r="C31">
        <v>4</v>
      </c>
      <c r="D31">
        <v>6</v>
      </c>
      <c r="E31">
        <v>8</v>
      </c>
      <c r="F31">
        <v>5.5</v>
      </c>
      <c r="G31">
        <v>5</v>
      </c>
      <c r="H31">
        <v>0.90909090000000004</v>
      </c>
      <c r="I31">
        <v>40</v>
      </c>
      <c r="J31">
        <v>42.727269999999997</v>
      </c>
      <c r="K31">
        <f>(VLOOKUP(B31,'sampling distribution'!$A$1:$C$9,2,FALSE)+VLOOKUP(C31,'sampling distribution'!$A$1:$C$9,2,FALSE)+VLOOKUP(D31,'sampling distribution'!$A$1:$C$9,2,FALSE)+VLOOKUP(E31,'sampling distribution'!$A$1:$C$9,2,FALSE))/4</f>
        <v>5.5</v>
      </c>
      <c r="L31">
        <f>(VLOOKUP(B31,'sampling distribution'!$A$1:$C$9,3,FALSE)+VLOOKUP(C31,'sampling distribution'!$A$1:$C$9,3,FALSE)+VLOOKUP(D31,'sampling distribution'!$A$1:$C$9,3,FALSE)+VLOOKUP(E31,'sampling distribution'!$A$1:$C$9,3,FALSE))/4</f>
        <v>5</v>
      </c>
      <c r="M31">
        <f t="shared" si="0"/>
        <v>0.90909090909090906</v>
      </c>
      <c r="N31">
        <f>(VLOOKUP(B31,'sampling distribution'!$A$1:$C$9,3,FALSE)+VLOOKUP(C31,'sampling distribution'!$A$1:$C$9,3,FALSE)+VLOOKUP(D31,'sampling distribution'!$A$1:$C$9,3,FALSE)+VLOOKUP(E31,'sampling distribution'!$A$1:$C$9,3,FALSE))*2</f>
        <v>40</v>
      </c>
      <c r="O31">
        <f>M31*SUM('sampling distribution'!$B$2:$B$9)</f>
        <v>42.727272727272727</v>
      </c>
    </row>
    <row r="32" spans="1:15" x14ac:dyDescent="0.2">
      <c r="A32">
        <v>31</v>
      </c>
      <c r="B32">
        <v>1</v>
      </c>
      <c r="C32">
        <v>4</v>
      </c>
      <c r="D32">
        <v>7</v>
      </c>
      <c r="E32">
        <v>8</v>
      </c>
      <c r="F32">
        <v>5.5</v>
      </c>
      <c r="G32">
        <v>5</v>
      </c>
      <c r="H32">
        <v>0.90909090000000004</v>
      </c>
      <c r="I32">
        <v>40</v>
      </c>
      <c r="J32">
        <v>42.727269999999997</v>
      </c>
      <c r="K32">
        <f>(VLOOKUP(B32,'sampling distribution'!$A$1:$C$9,2,FALSE)+VLOOKUP(C32,'sampling distribution'!$A$1:$C$9,2,FALSE)+VLOOKUP(D32,'sampling distribution'!$A$1:$C$9,2,FALSE)+VLOOKUP(E32,'sampling distribution'!$A$1:$C$9,2,FALSE))/4</f>
        <v>5.5</v>
      </c>
      <c r="L32">
        <f>(VLOOKUP(B32,'sampling distribution'!$A$1:$C$9,3,FALSE)+VLOOKUP(C32,'sampling distribution'!$A$1:$C$9,3,FALSE)+VLOOKUP(D32,'sampling distribution'!$A$1:$C$9,3,FALSE)+VLOOKUP(E32,'sampling distribution'!$A$1:$C$9,3,FALSE))/4</f>
        <v>5</v>
      </c>
      <c r="M32">
        <f t="shared" si="0"/>
        <v>0.90909090909090906</v>
      </c>
      <c r="N32">
        <f>(VLOOKUP(B32,'sampling distribution'!$A$1:$C$9,3,FALSE)+VLOOKUP(C32,'sampling distribution'!$A$1:$C$9,3,FALSE)+VLOOKUP(D32,'sampling distribution'!$A$1:$C$9,3,FALSE)+VLOOKUP(E32,'sampling distribution'!$A$1:$C$9,3,FALSE))*2</f>
        <v>40</v>
      </c>
      <c r="O32">
        <f>M32*SUM('sampling distribution'!$B$2:$B$9)</f>
        <v>42.727272727272727</v>
      </c>
    </row>
    <row r="33" spans="1:15" x14ac:dyDescent="0.2">
      <c r="A33">
        <v>32</v>
      </c>
      <c r="B33">
        <v>1</v>
      </c>
      <c r="C33">
        <v>5</v>
      </c>
      <c r="D33">
        <v>6</v>
      </c>
      <c r="E33">
        <v>7</v>
      </c>
      <c r="F33">
        <v>6.5</v>
      </c>
      <c r="G33">
        <v>5.5</v>
      </c>
      <c r="H33">
        <v>0.84615379999999996</v>
      </c>
      <c r="I33">
        <v>44</v>
      </c>
      <c r="J33">
        <v>39.76923</v>
      </c>
      <c r="K33">
        <f>(VLOOKUP(B33,'sampling distribution'!$A$1:$C$9,2,FALSE)+VLOOKUP(C33,'sampling distribution'!$A$1:$C$9,2,FALSE)+VLOOKUP(D33,'sampling distribution'!$A$1:$C$9,2,FALSE)+VLOOKUP(E33,'sampling distribution'!$A$1:$C$9,2,FALSE))/4</f>
        <v>6.5</v>
      </c>
      <c r="L33">
        <f>(VLOOKUP(B33,'sampling distribution'!$A$1:$C$9,3,FALSE)+VLOOKUP(C33,'sampling distribution'!$A$1:$C$9,3,FALSE)+VLOOKUP(D33,'sampling distribution'!$A$1:$C$9,3,FALSE)+VLOOKUP(E33,'sampling distribution'!$A$1:$C$9,3,FALSE))/4</f>
        <v>5.5</v>
      </c>
      <c r="M33">
        <f t="shared" si="0"/>
        <v>0.84615384615384615</v>
      </c>
      <c r="N33">
        <f>(VLOOKUP(B33,'sampling distribution'!$A$1:$C$9,3,FALSE)+VLOOKUP(C33,'sampling distribution'!$A$1:$C$9,3,FALSE)+VLOOKUP(D33,'sampling distribution'!$A$1:$C$9,3,FALSE)+VLOOKUP(E33,'sampling distribution'!$A$1:$C$9,3,FALSE))*2</f>
        <v>44</v>
      </c>
      <c r="O33">
        <f>M33*SUM('sampling distribution'!$B$2:$B$9)</f>
        <v>39.769230769230766</v>
      </c>
    </row>
    <row r="34" spans="1:15" x14ac:dyDescent="0.2">
      <c r="A34">
        <v>33</v>
      </c>
      <c r="B34">
        <v>1</v>
      </c>
      <c r="C34">
        <v>5</v>
      </c>
      <c r="D34">
        <v>6</v>
      </c>
      <c r="E34">
        <v>8</v>
      </c>
      <c r="F34">
        <v>6</v>
      </c>
      <c r="G34">
        <v>5.75</v>
      </c>
      <c r="H34">
        <v>0.95833330000000005</v>
      </c>
      <c r="I34">
        <v>46</v>
      </c>
      <c r="J34">
        <v>45.041670000000003</v>
      </c>
      <c r="K34">
        <f>(VLOOKUP(B34,'sampling distribution'!$A$1:$C$9,2,FALSE)+VLOOKUP(C34,'sampling distribution'!$A$1:$C$9,2,FALSE)+VLOOKUP(D34,'sampling distribution'!$A$1:$C$9,2,FALSE)+VLOOKUP(E34,'sampling distribution'!$A$1:$C$9,2,FALSE))/4</f>
        <v>6</v>
      </c>
      <c r="L34">
        <f>(VLOOKUP(B34,'sampling distribution'!$A$1:$C$9,3,FALSE)+VLOOKUP(C34,'sampling distribution'!$A$1:$C$9,3,FALSE)+VLOOKUP(D34,'sampling distribution'!$A$1:$C$9,3,FALSE)+VLOOKUP(E34,'sampling distribution'!$A$1:$C$9,3,FALSE))/4</f>
        <v>5.75</v>
      </c>
      <c r="M34">
        <f t="shared" si="0"/>
        <v>0.95833333333333337</v>
      </c>
      <c r="N34">
        <f>(VLOOKUP(B34,'sampling distribution'!$A$1:$C$9,3,FALSE)+VLOOKUP(C34,'sampling distribution'!$A$1:$C$9,3,FALSE)+VLOOKUP(D34,'sampling distribution'!$A$1:$C$9,3,FALSE)+VLOOKUP(E34,'sampling distribution'!$A$1:$C$9,3,FALSE))*2</f>
        <v>46</v>
      </c>
      <c r="O34">
        <f>M34*SUM('sampling distribution'!$B$2:$B$9)</f>
        <v>45.041666666666671</v>
      </c>
    </row>
    <row r="35" spans="1:15" x14ac:dyDescent="0.2">
      <c r="A35">
        <v>34</v>
      </c>
      <c r="B35">
        <v>1</v>
      </c>
      <c r="C35">
        <v>5</v>
      </c>
      <c r="D35">
        <v>7</v>
      </c>
      <c r="E35">
        <v>8</v>
      </c>
      <c r="F35">
        <v>6</v>
      </c>
      <c r="G35">
        <v>5.75</v>
      </c>
      <c r="H35">
        <v>0.95833330000000005</v>
      </c>
      <c r="I35">
        <v>46</v>
      </c>
      <c r="J35">
        <v>45.041670000000003</v>
      </c>
      <c r="K35">
        <f>(VLOOKUP(B35,'sampling distribution'!$A$1:$C$9,2,FALSE)+VLOOKUP(C35,'sampling distribution'!$A$1:$C$9,2,FALSE)+VLOOKUP(D35,'sampling distribution'!$A$1:$C$9,2,FALSE)+VLOOKUP(E35,'sampling distribution'!$A$1:$C$9,2,FALSE))/4</f>
        <v>6</v>
      </c>
      <c r="L35">
        <f>(VLOOKUP(B35,'sampling distribution'!$A$1:$C$9,3,FALSE)+VLOOKUP(C35,'sampling distribution'!$A$1:$C$9,3,FALSE)+VLOOKUP(D35,'sampling distribution'!$A$1:$C$9,3,FALSE)+VLOOKUP(E35,'sampling distribution'!$A$1:$C$9,3,FALSE))/4</f>
        <v>5.75</v>
      </c>
      <c r="M35">
        <f t="shared" si="0"/>
        <v>0.95833333333333337</v>
      </c>
      <c r="N35">
        <f>(VLOOKUP(B35,'sampling distribution'!$A$1:$C$9,3,FALSE)+VLOOKUP(C35,'sampling distribution'!$A$1:$C$9,3,FALSE)+VLOOKUP(D35,'sampling distribution'!$A$1:$C$9,3,FALSE)+VLOOKUP(E35,'sampling distribution'!$A$1:$C$9,3,FALSE))*2</f>
        <v>46</v>
      </c>
      <c r="O35">
        <f>M35*SUM('sampling distribution'!$B$2:$B$9)</f>
        <v>45.041666666666671</v>
      </c>
    </row>
    <row r="36" spans="1:15" x14ac:dyDescent="0.2">
      <c r="A36">
        <v>35</v>
      </c>
      <c r="B36">
        <v>1</v>
      </c>
      <c r="C36">
        <v>6</v>
      </c>
      <c r="D36">
        <v>7</v>
      </c>
      <c r="E36">
        <v>8</v>
      </c>
      <c r="F36">
        <v>5.75</v>
      </c>
      <c r="G36">
        <v>5.75</v>
      </c>
      <c r="H36">
        <v>1</v>
      </c>
      <c r="I36">
        <v>46</v>
      </c>
      <c r="J36">
        <v>47</v>
      </c>
      <c r="K36">
        <f>(VLOOKUP(B36,'sampling distribution'!$A$1:$C$9,2,FALSE)+VLOOKUP(C36,'sampling distribution'!$A$1:$C$9,2,FALSE)+VLOOKUP(D36,'sampling distribution'!$A$1:$C$9,2,FALSE)+VLOOKUP(E36,'sampling distribution'!$A$1:$C$9,2,FALSE))/4</f>
        <v>5.75</v>
      </c>
      <c r="L36">
        <f>(VLOOKUP(B36,'sampling distribution'!$A$1:$C$9,3,FALSE)+VLOOKUP(C36,'sampling distribution'!$A$1:$C$9,3,FALSE)+VLOOKUP(D36,'sampling distribution'!$A$1:$C$9,3,FALSE)+VLOOKUP(E36,'sampling distribution'!$A$1:$C$9,3,FALSE))/4</f>
        <v>5.75</v>
      </c>
      <c r="M36">
        <f t="shared" si="0"/>
        <v>1</v>
      </c>
      <c r="N36">
        <f>(VLOOKUP(B36,'sampling distribution'!$A$1:$C$9,3,FALSE)+VLOOKUP(C36,'sampling distribution'!$A$1:$C$9,3,FALSE)+VLOOKUP(D36,'sampling distribution'!$A$1:$C$9,3,FALSE)+VLOOKUP(E36,'sampling distribution'!$A$1:$C$9,3,FALSE))*2</f>
        <v>46</v>
      </c>
      <c r="O36">
        <f>M36*SUM('sampling distribution'!$B$2:$B$9)</f>
        <v>47</v>
      </c>
    </row>
    <row r="37" spans="1:15" x14ac:dyDescent="0.2">
      <c r="A37">
        <v>36</v>
      </c>
      <c r="B37">
        <v>2</v>
      </c>
      <c r="C37">
        <v>3</v>
      </c>
      <c r="D37">
        <v>4</v>
      </c>
      <c r="E37">
        <v>5</v>
      </c>
      <c r="F37">
        <v>6</v>
      </c>
      <c r="G37">
        <v>4.25</v>
      </c>
      <c r="H37">
        <v>0.70833330000000005</v>
      </c>
      <c r="I37">
        <v>34</v>
      </c>
      <c r="J37">
        <v>33.291670000000003</v>
      </c>
      <c r="K37">
        <f>(VLOOKUP(B37,'sampling distribution'!$A$1:$C$9,2,FALSE)+VLOOKUP(C37,'sampling distribution'!$A$1:$C$9,2,FALSE)+VLOOKUP(D37,'sampling distribution'!$A$1:$C$9,2,FALSE)+VLOOKUP(E37,'sampling distribution'!$A$1:$C$9,2,FALSE))/4</f>
        <v>6</v>
      </c>
      <c r="L37">
        <f>(VLOOKUP(B37,'sampling distribution'!$A$1:$C$9,3,FALSE)+VLOOKUP(C37,'sampling distribution'!$A$1:$C$9,3,FALSE)+VLOOKUP(D37,'sampling distribution'!$A$1:$C$9,3,FALSE)+VLOOKUP(E37,'sampling distribution'!$A$1:$C$9,3,FALSE))/4</f>
        <v>4.25</v>
      </c>
      <c r="M37">
        <f t="shared" si="0"/>
        <v>0.70833333333333337</v>
      </c>
      <c r="N37">
        <f>(VLOOKUP(B37,'sampling distribution'!$A$1:$C$9,3,FALSE)+VLOOKUP(C37,'sampling distribution'!$A$1:$C$9,3,FALSE)+VLOOKUP(D37,'sampling distribution'!$A$1:$C$9,3,FALSE)+VLOOKUP(E37,'sampling distribution'!$A$1:$C$9,3,FALSE))*2</f>
        <v>34</v>
      </c>
      <c r="O37">
        <f>M37*SUM('sampling distribution'!$B$2:$B$9)</f>
        <v>33.291666666666671</v>
      </c>
    </row>
    <row r="38" spans="1:15" x14ac:dyDescent="0.2">
      <c r="A38">
        <v>37</v>
      </c>
      <c r="B38">
        <v>2</v>
      </c>
      <c r="C38">
        <v>3</v>
      </c>
      <c r="D38">
        <v>4</v>
      </c>
      <c r="E38">
        <v>6</v>
      </c>
      <c r="F38">
        <v>5.75</v>
      </c>
      <c r="G38">
        <v>4.25</v>
      </c>
      <c r="H38">
        <v>0.73913039999999997</v>
      </c>
      <c r="I38">
        <v>34</v>
      </c>
      <c r="J38">
        <v>34.739130000000003</v>
      </c>
      <c r="K38">
        <f>(VLOOKUP(B38,'sampling distribution'!$A$1:$C$9,2,FALSE)+VLOOKUP(C38,'sampling distribution'!$A$1:$C$9,2,FALSE)+VLOOKUP(D38,'sampling distribution'!$A$1:$C$9,2,FALSE)+VLOOKUP(E38,'sampling distribution'!$A$1:$C$9,2,FALSE))/4</f>
        <v>5.75</v>
      </c>
      <c r="L38">
        <f>(VLOOKUP(B38,'sampling distribution'!$A$1:$C$9,3,FALSE)+VLOOKUP(C38,'sampling distribution'!$A$1:$C$9,3,FALSE)+VLOOKUP(D38,'sampling distribution'!$A$1:$C$9,3,FALSE)+VLOOKUP(E38,'sampling distribution'!$A$1:$C$9,3,FALSE))/4</f>
        <v>4.25</v>
      </c>
      <c r="M38">
        <f t="shared" si="0"/>
        <v>0.73913043478260865</v>
      </c>
      <c r="N38">
        <f>(VLOOKUP(B38,'sampling distribution'!$A$1:$C$9,3,FALSE)+VLOOKUP(C38,'sampling distribution'!$A$1:$C$9,3,FALSE)+VLOOKUP(D38,'sampling distribution'!$A$1:$C$9,3,FALSE)+VLOOKUP(E38,'sampling distribution'!$A$1:$C$9,3,FALSE))*2</f>
        <v>34</v>
      </c>
      <c r="O38">
        <f>M38*SUM('sampling distribution'!$B$2:$B$9)</f>
        <v>34.739130434782609</v>
      </c>
    </row>
    <row r="39" spans="1:15" x14ac:dyDescent="0.2">
      <c r="A39">
        <v>38</v>
      </c>
      <c r="B39">
        <v>2</v>
      </c>
      <c r="C39">
        <v>3</v>
      </c>
      <c r="D39">
        <v>4</v>
      </c>
      <c r="E39">
        <v>7</v>
      </c>
      <c r="F39">
        <v>5.75</v>
      </c>
      <c r="G39">
        <v>4.25</v>
      </c>
      <c r="H39">
        <v>0.73913039999999997</v>
      </c>
      <c r="I39">
        <v>34</v>
      </c>
      <c r="J39">
        <v>34.739130000000003</v>
      </c>
      <c r="K39">
        <f>(VLOOKUP(B39,'sampling distribution'!$A$1:$C$9,2,FALSE)+VLOOKUP(C39,'sampling distribution'!$A$1:$C$9,2,FALSE)+VLOOKUP(D39,'sampling distribution'!$A$1:$C$9,2,FALSE)+VLOOKUP(E39,'sampling distribution'!$A$1:$C$9,2,FALSE))/4</f>
        <v>5.75</v>
      </c>
      <c r="L39">
        <f>(VLOOKUP(B39,'sampling distribution'!$A$1:$C$9,3,FALSE)+VLOOKUP(C39,'sampling distribution'!$A$1:$C$9,3,FALSE)+VLOOKUP(D39,'sampling distribution'!$A$1:$C$9,3,FALSE)+VLOOKUP(E39,'sampling distribution'!$A$1:$C$9,3,FALSE))/4</f>
        <v>4.25</v>
      </c>
      <c r="M39">
        <f t="shared" si="0"/>
        <v>0.73913043478260865</v>
      </c>
      <c r="N39">
        <f>(VLOOKUP(B39,'sampling distribution'!$A$1:$C$9,3,FALSE)+VLOOKUP(C39,'sampling distribution'!$A$1:$C$9,3,FALSE)+VLOOKUP(D39,'sampling distribution'!$A$1:$C$9,3,FALSE)+VLOOKUP(E39,'sampling distribution'!$A$1:$C$9,3,FALSE))*2</f>
        <v>34</v>
      </c>
      <c r="O39">
        <f>M39*SUM('sampling distribution'!$B$2:$B$9)</f>
        <v>34.739130434782609</v>
      </c>
    </row>
    <row r="40" spans="1:15" x14ac:dyDescent="0.2">
      <c r="A40">
        <v>39</v>
      </c>
      <c r="B40">
        <v>2</v>
      </c>
      <c r="C40">
        <v>3</v>
      </c>
      <c r="D40">
        <v>4</v>
      </c>
      <c r="E40">
        <v>8</v>
      </c>
      <c r="F40">
        <v>5.25</v>
      </c>
      <c r="G40">
        <v>4.5</v>
      </c>
      <c r="H40">
        <v>0.85714290000000004</v>
      </c>
      <c r="I40">
        <v>36</v>
      </c>
      <c r="J40">
        <v>40.285710000000002</v>
      </c>
      <c r="K40">
        <f>(VLOOKUP(B40,'sampling distribution'!$A$1:$C$9,2,FALSE)+VLOOKUP(C40,'sampling distribution'!$A$1:$C$9,2,FALSE)+VLOOKUP(D40,'sampling distribution'!$A$1:$C$9,2,FALSE)+VLOOKUP(E40,'sampling distribution'!$A$1:$C$9,2,FALSE))/4</f>
        <v>5.25</v>
      </c>
      <c r="L40">
        <f>(VLOOKUP(B40,'sampling distribution'!$A$1:$C$9,3,FALSE)+VLOOKUP(C40,'sampling distribution'!$A$1:$C$9,3,FALSE)+VLOOKUP(D40,'sampling distribution'!$A$1:$C$9,3,FALSE)+VLOOKUP(E40,'sampling distribution'!$A$1:$C$9,3,FALSE))/4</f>
        <v>4.5</v>
      </c>
      <c r="M40">
        <f t="shared" si="0"/>
        <v>0.8571428571428571</v>
      </c>
      <c r="N40">
        <f>(VLOOKUP(B40,'sampling distribution'!$A$1:$C$9,3,FALSE)+VLOOKUP(C40,'sampling distribution'!$A$1:$C$9,3,FALSE)+VLOOKUP(D40,'sampling distribution'!$A$1:$C$9,3,FALSE)+VLOOKUP(E40,'sampling distribution'!$A$1:$C$9,3,FALSE))*2</f>
        <v>36</v>
      </c>
      <c r="O40">
        <f>M40*SUM('sampling distribution'!$B$2:$B$9)</f>
        <v>40.285714285714285</v>
      </c>
    </row>
    <row r="41" spans="1:15" x14ac:dyDescent="0.2">
      <c r="A41">
        <v>40</v>
      </c>
      <c r="B41">
        <v>2</v>
      </c>
      <c r="C41">
        <v>3</v>
      </c>
      <c r="D41">
        <v>5</v>
      </c>
      <c r="E41">
        <v>6</v>
      </c>
      <c r="F41">
        <v>6.25</v>
      </c>
      <c r="G41">
        <v>5</v>
      </c>
      <c r="H41">
        <v>0.8</v>
      </c>
      <c r="I41">
        <v>40</v>
      </c>
      <c r="J41">
        <v>37.6</v>
      </c>
      <c r="K41">
        <f>(VLOOKUP(B41,'sampling distribution'!$A$1:$C$9,2,FALSE)+VLOOKUP(C41,'sampling distribution'!$A$1:$C$9,2,FALSE)+VLOOKUP(D41,'sampling distribution'!$A$1:$C$9,2,FALSE)+VLOOKUP(E41,'sampling distribution'!$A$1:$C$9,2,FALSE))/4</f>
        <v>6.25</v>
      </c>
      <c r="L41">
        <f>(VLOOKUP(B41,'sampling distribution'!$A$1:$C$9,3,FALSE)+VLOOKUP(C41,'sampling distribution'!$A$1:$C$9,3,FALSE)+VLOOKUP(D41,'sampling distribution'!$A$1:$C$9,3,FALSE)+VLOOKUP(E41,'sampling distribution'!$A$1:$C$9,3,FALSE))/4</f>
        <v>5</v>
      </c>
      <c r="M41">
        <f t="shared" si="0"/>
        <v>0.8</v>
      </c>
      <c r="N41">
        <f>(VLOOKUP(B41,'sampling distribution'!$A$1:$C$9,3,FALSE)+VLOOKUP(C41,'sampling distribution'!$A$1:$C$9,3,FALSE)+VLOOKUP(D41,'sampling distribution'!$A$1:$C$9,3,FALSE)+VLOOKUP(E41,'sampling distribution'!$A$1:$C$9,3,FALSE))*2</f>
        <v>40</v>
      </c>
      <c r="O41">
        <f>M41*SUM('sampling distribution'!$B$2:$B$9)</f>
        <v>37.6</v>
      </c>
    </row>
    <row r="42" spans="1:15" x14ac:dyDescent="0.2">
      <c r="A42">
        <v>41</v>
      </c>
      <c r="B42">
        <v>2</v>
      </c>
      <c r="C42">
        <v>3</v>
      </c>
      <c r="D42">
        <v>5</v>
      </c>
      <c r="E42">
        <v>7</v>
      </c>
      <c r="F42">
        <v>6.25</v>
      </c>
      <c r="G42">
        <v>5</v>
      </c>
      <c r="H42">
        <v>0.8</v>
      </c>
      <c r="I42">
        <v>40</v>
      </c>
      <c r="J42">
        <v>37.6</v>
      </c>
      <c r="K42">
        <f>(VLOOKUP(B42,'sampling distribution'!$A$1:$C$9,2,FALSE)+VLOOKUP(C42,'sampling distribution'!$A$1:$C$9,2,FALSE)+VLOOKUP(D42,'sampling distribution'!$A$1:$C$9,2,FALSE)+VLOOKUP(E42,'sampling distribution'!$A$1:$C$9,2,FALSE))/4</f>
        <v>6.25</v>
      </c>
      <c r="L42">
        <f>(VLOOKUP(B42,'sampling distribution'!$A$1:$C$9,3,FALSE)+VLOOKUP(C42,'sampling distribution'!$A$1:$C$9,3,FALSE)+VLOOKUP(D42,'sampling distribution'!$A$1:$C$9,3,FALSE)+VLOOKUP(E42,'sampling distribution'!$A$1:$C$9,3,FALSE))/4</f>
        <v>5</v>
      </c>
      <c r="M42">
        <f t="shared" si="0"/>
        <v>0.8</v>
      </c>
      <c r="N42">
        <f>(VLOOKUP(B42,'sampling distribution'!$A$1:$C$9,3,FALSE)+VLOOKUP(C42,'sampling distribution'!$A$1:$C$9,3,FALSE)+VLOOKUP(D42,'sampling distribution'!$A$1:$C$9,3,FALSE)+VLOOKUP(E42,'sampling distribution'!$A$1:$C$9,3,FALSE))*2</f>
        <v>40</v>
      </c>
      <c r="O42">
        <f>M42*SUM('sampling distribution'!$B$2:$B$9)</f>
        <v>37.6</v>
      </c>
    </row>
    <row r="43" spans="1:15" x14ac:dyDescent="0.2">
      <c r="A43">
        <v>42</v>
      </c>
      <c r="B43">
        <v>2</v>
      </c>
      <c r="C43">
        <v>3</v>
      </c>
      <c r="D43">
        <v>5</v>
      </c>
      <c r="E43">
        <v>8</v>
      </c>
      <c r="F43">
        <v>5.75</v>
      </c>
      <c r="G43">
        <v>5.25</v>
      </c>
      <c r="H43">
        <v>0.91304350000000001</v>
      </c>
      <c r="I43">
        <v>42</v>
      </c>
      <c r="J43">
        <v>42.913040000000002</v>
      </c>
      <c r="K43">
        <f>(VLOOKUP(B43,'sampling distribution'!$A$1:$C$9,2,FALSE)+VLOOKUP(C43,'sampling distribution'!$A$1:$C$9,2,FALSE)+VLOOKUP(D43,'sampling distribution'!$A$1:$C$9,2,FALSE)+VLOOKUP(E43,'sampling distribution'!$A$1:$C$9,2,FALSE))/4</f>
        <v>5.75</v>
      </c>
      <c r="L43">
        <f>(VLOOKUP(B43,'sampling distribution'!$A$1:$C$9,3,FALSE)+VLOOKUP(C43,'sampling distribution'!$A$1:$C$9,3,FALSE)+VLOOKUP(D43,'sampling distribution'!$A$1:$C$9,3,FALSE)+VLOOKUP(E43,'sampling distribution'!$A$1:$C$9,3,FALSE))/4</f>
        <v>5.25</v>
      </c>
      <c r="M43">
        <f t="shared" si="0"/>
        <v>0.91304347826086951</v>
      </c>
      <c r="N43">
        <f>(VLOOKUP(B43,'sampling distribution'!$A$1:$C$9,3,FALSE)+VLOOKUP(C43,'sampling distribution'!$A$1:$C$9,3,FALSE)+VLOOKUP(D43,'sampling distribution'!$A$1:$C$9,3,FALSE)+VLOOKUP(E43,'sampling distribution'!$A$1:$C$9,3,FALSE))*2</f>
        <v>42</v>
      </c>
      <c r="O43">
        <f>M43*SUM('sampling distribution'!$B$2:$B$9)</f>
        <v>42.913043478260867</v>
      </c>
    </row>
    <row r="44" spans="1:15" x14ac:dyDescent="0.2">
      <c r="A44">
        <v>43</v>
      </c>
      <c r="B44">
        <v>2</v>
      </c>
      <c r="C44">
        <v>3</v>
      </c>
      <c r="D44">
        <v>6</v>
      </c>
      <c r="E44">
        <v>7</v>
      </c>
      <c r="F44">
        <v>6</v>
      </c>
      <c r="G44">
        <v>5</v>
      </c>
      <c r="H44">
        <v>0.83333330000000005</v>
      </c>
      <c r="I44">
        <v>40</v>
      </c>
      <c r="J44">
        <v>39.166670000000003</v>
      </c>
      <c r="K44">
        <f>(VLOOKUP(B44,'sampling distribution'!$A$1:$C$9,2,FALSE)+VLOOKUP(C44,'sampling distribution'!$A$1:$C$9,2,FALSE)+VLOOKUP(D44,'sampling distribution'!$A$1:$C$9,2,FALSE)+VLOOKUP(E44,'sampling distribution'!$A$1:$C$9,2,FALSE))/4</f>
        <v>6</v>
      </c>
      <c r="L44">
        <f>(VLOOKUP(B44,'sampling distribution'!$A$1:$C$9,3,FALSE)+VLOOKUP(C44,'sampling distribution'!$A$1:$C$9,3,FALSE)+VLOOKUP(D44,'sampling distribution'!$A$1:$C$9,3,FALSE)+VLOOKUP(E44,'sampling distribution'!$A$1:$C$9,3,FALSE))/4</f>
        <v>5</v>
      </c>
      <c r="M44">
        <f t="shared" si="0"/>
        <v>0.83333333333333337</v>
      </c>
      <c r="N44">
        <f>(VLOOKUP(B44,'sampling distribution'!$A$1:$C$9,3,FALSE)+VLOOKUP(C44,'sampling distribution'!$A$1:$C$9,3,FALSE)+VLOOKUP(D44,'sampling distribution'!$A$1:$C$9,3,FALSE)+VLOOKUP(E44,'sampling distribution'!$A$1:$C$9,3,FALSE))*2</f>
        <v>40</v>
      </c>
      <c r="O44">
        <f>M44*SUM('sampling distribution'!$B$2:$B$9)</f>
        <v>39.166666666666671</v>
      </c>
    </row>
    <row r="45" spans="1:15" x14ac:dyDescent="0.2">
      <c r="A45">
        <v>44</v>
      </c>
      <c r="B45">
        <v>2</v>
      </c>
      <c r="C45">
        <v>3</v>
      </c>
      <c r="D45">
        <v>6</v>
      </c>
      <c r="E45">
        <v>8</v>
      </c>
      <c r="F45">
        <v>5.5</v>
      </c>
      <c r="G45">
        <v>5.25</v>
      </c>
      <c r="H45">
        <v>0.95454550000000005</v>
      </c>
      <c r="I45">
        <v>42</v>
      </c>
      <c r="J45">
        <v>44.863639999999997</v>
      </c>
      <c r="K45">
        <f>(VLOOKUP(B45,'sampling distribution'!$A$1:$C$9,2,FALSE)+VLOOKUP(C45,'sampling distribution'!$A$1:$C$9,2,FALSE)+VLOOKUP(D45,'sampling distribution'!$A$1:$C$9,2,FALSE)+VLOOKUP(E45,'sampling distribution'!$A$1:$C$9,2,FALSE))/4</f>
        <v>5.5</v>
      </c>
      <c r="L45">
        <f>(VLOOKUP(B45,'sampling distribution'!$A$1:$C$9,3,FALSE)+VLOOKUP(C45,'sampling distribution'!$A$1:$C$9,3,FALSE)+VLOOKUP(D45,'sampling distribution'!$A$1:$C$9,3,FALSE)+VLOOKUP(E45,'sampling distribution'!$A$1:$C$9,3,FALSE))/4</f>
        <v>5.25</v>
      </c>
      <c r="M45">
        <f t="shared" si="0"/>
        <v>0.95454545454545459</v>
      </c>
      <c r="N45">
        <f>(VLOOKUP(B45,'sampling distribution'!$A$1:$C$9,3,FALSE)+VLOOKUP(C45,'sampling distribution'!$A$1:$C$9,3,FALSE)+VLOOKUP(D45,'sampling distribution'!$A$1:$C$9,3,FALSE)+VLOOKUP(E45,'sampling distribution'!$A$1:$C$9,3,FALSE))*2</f>
        <v>42</v>
      </c>
      <c r="O45">
        <f>M45*SUM('sampling distribution'!$B$2:$B$9)</f>
        <v>44.863636363636367</v>
      </c>
    </row>
    <row r="46" spans="1:15" x14ac:dyDescent="0.2">
      <c r="A46">
        <v>45</v>
      </c>
      <c r="B46">
        <v>2</v>
      </c>
      <c r="C46">
        <v>3</v>
      </c>
      <c r="D46">
        <v>7</v>
      </c>
      <c r="E46">
        <v>8</v>
      </c>
      <c r="F46">
        <v>5.5</v>
      </c>
      <c r="G46">
        <v>5.25</v>
      </c>
      <c r="H46">
        <v>0.95454550000000005</v>
      </c>
      <c r="I46">
        <v>42</v>
      </c>
      <c r="J46">
        <v>44.863639999999997</v>
      </c>
      <c r="K46">
        <f>(VLOOKUP(B46,'sampling distribution'!$A$1:$C$9,2,FALSE)+VLOOKUP(C46,'sampling distribution'!$A$1:$C$9,2,FALSE)+VLOOKUP(D46,'sampling distribution'!$A$1:$C$9,2,FALSE)+VLOOKUP(E46,'sampling distribution'!$A$1:$C$9,2,FALSE))/4</f>
        <v>5.5</v>
      </c>
      <c r="L46">
        <f>(VLOOKUP(B46,'sampling distribution'!$A$1:$C$9,3,FALSE)+VLOOKUP(C46,'sampling distribution'!$A$1:$C$9,3,FALSE)+VLOOKUP(D46,'sampling distribution'!$A$1:$C$9,3,FALSE)+VLOOKUP(E46,'sampling distribution'!$A$1:$C$9,3,FALSE))/4</f>
        <v>5.25</v>
      </c>
      <c r="M46">
        <f t="shared" si="0"/>
        <v>0.95454545454545459</v>
      </c>
      <c r="N46">
        <f>(VLOOKUP(B46,'sampling distribution'!$A$1:$C$9,3,FALSE)+VLOOKUP(C46,'sampling distribution'!$A$1:$C$9,3,FALSE)+VLOOKUP(D46,'sampling distribution'!$A$1:$C$9,3,FALSE)+VLOOKUP(E46,'sampling distribution'!$A$1:$C$9,3,FALSE))*2</f>
        <v>42</v>
      </c>
      <c r="O46">
        <f>M46*SUM('sampling distribution'!$B$2:$B$9)</f>
        <v>44.863636363636367</v>
      </c>
    </row>
    <row r="47" spans="1:15" x14ac:dyDescent="0.2">
      <c r="A47">
        <v>46</v>
      </c>
      <c r="B47">
        <v>2</v>
      </c>
      <c r="C47">
        <v>4</v>
      </c>
      <c r="D47">
        <v>5</v>
      </c>
      <c r="E47">
        <v>6</v>
      </c>
      <c r="F47">
        <v>6.5</v>
      </c>
      <c r="G47">
        <v>5</v>
      </c>
      <c r="H47">
        <v>0.76923079999999999</v>
      </c>
      <c r="I47">
        <v>40</v>
      </c>
      <c r="J47">
        <v>36.153849999999998</v>
      </c>
      <c r="K47">
        <f>(VLOOKUP(B47,'sampling distribution'!$A$1:$C$9,2,FALSE)+VLOOKUP(C47,'sampling distribution'!$A$1:$C$9,2,FALSE)+VLOOKUP(D47,'sampling distribution'!$A$1:$C$9,2,FALSE)+VLOOKUP(E47,'sampling distribution'!$A$1:$C$9,2,FALSE))/4</f>
        <v>6.5</v>
      </c>
      <c r="L47">
        <f>(VLOOKUP(B47,'sampling distribution'!$A$1:$C$9,3,FALSE)+VLOOKUP(C47,'sampling distribution'!$A$1:$C$9,3,FALSE)+VLOOKUP(D47,'sampling distribution'!$A$1:$C$9,3,FALSE)+VLOOKUP(E47,'sampling distribution'!$A$1:$C$9,3,FALSE))/4</f>
        <v>5</v>
      </c>
      <c r="M47">
        <f t="shared" si="0"/>
        <v>0.76923076923076927</v>
      </c>
      <c r="N47">
        <f>(VLOOKUP(B47,'sampling distribution'!$A$1:$C$9,3,FALSE)+VLOOKUP(C47,'sampling distribution'!$A$1:$C$9,3,FALSE)+VLOOKUP(D47,'sampling distribution'!$A$1:$C$9,3,FALSE)+VLOOKUP(E47,'sampling distribution'!$A$1:$C$9,3,FALSE))*2</f>
        <v>40</v>
      </c>
      <c r="O47">
        <f>M47*SUM('sampling distribution'!$B$2:$B$9)</f>
        <v>36.153846153846153</v>
      </c>
    </row>
    <row r="48" spans="1:15" x14ac:dyDescent="0.2">
      <c r="A48">
        <v>47</v>
      </c>
      <c r="B48">
        <v>2</v>
      </c>
      <c r="C48">
        <v>4</v>
      </c>
      <c r="D48">
        <v>5</v>
      </c>
      <c r="E48">
        <v>7</v>
      </c>
      <c r="F48">
        <v>6.5</v>
      </c>
      <c r="G48">
        <v>5</v>
      </c>
      <c r="H48">
        <v>0.76923079999999999</v>
      </c>
      <c r="I48">
        <v>40</v>
      </c>
      <c r="J48">
        <v>36.153849999999998</v>
      </c>
      <c r="K48">
        <f>(VLOOKUP(B48,'sampling distribution'!$A$1:$C$9,2,FALSE)+VLOOKUP(C48,'sampling distribution'!$A$1:$C$9,2,FALSE)+VLOOKUP(D48,'sampling distribution'!$A$1:$C$9,2,FALSE)+VLOOKUP(E48,'sampling distribution'!$A$1:$C$9,2,FALSE))/4</f>
        <v>6.5</v>
      </c>
      <c r="L48">
        <f>(VLOOKUP(B48,'sampling distribution'!$A$1:$C$9,3,FALSE)+VLOOKUP(C48,'sampling distribution'!$A$1:$C$9,3,FALSE)+VLOOKUP(D48,'sampling distribution'!$A$1:$C$9,3,FALSE)+VLOOKUP(E48,'sampling distribution'!$A$1:$C$9,3,FALSE))/4</f>
        <v>5</v>
      </c>
      <c r="M48">
        <f t="shared" si="0"/>
        <v>0.76923076923076927</v>
      </c>
      <c r="N48">
        <f>(VLOOKUP(B48,'sampling distribution'!$A$1:$C$9,3,FALSE)+VLOOKUP(C48,'sampling distribution'!$A$1:$C$9,3,FALSE)+VLOOKUP(D48,'sampling distribution'!$A$1:$C$9,3,FALSE)+VLOOKUP(E48,'sampling distribution'!$A$1:$C$9,3,FALSE))*2</f>
        <v>40</v>
      </c>
      <c r="O48">
        <f>M48*SUM('sampling distribution'!$B$2:$B$9)</f>
        <v>36.153846153846153</v>
      </c>
    </row>
    <row r="49" spans="1:15" x14ac:dyDescent="0.2">
      <c r="A49">
        <v>48</v>
      </c>
      <c r="B49">
        <v>2</v>
      </c>
      <c r="C49">
        <v>4</v>
      </c>
      <c r="D49">
        <v>5</v>
      </c>
      <c r="E49">
        <v>8</v>
      </c>
      <c r="F49">
        <v>6</v>
      </c>
      <c r="G49">
        <v>5.25</v>
      </c>
      <c r="H49">
        <v>0.875</v>
      </c>
      <c r="I49">
        <v>42</v>
      </c>
      <c r="J49">
        <v>41.125</v>
      </c>
      <c r="K49">
        <f>(VLOOKUP(B49,'sampling distribution'!$A$1:$C$9,2,FALSE)+VLOOKUP(C49,'sampling distribution'!$A$1:$C$9,2,FALSE)+VLOOKUP(D49,'sampling distribution'!$A$1:$C$9,2,FALSE)+VLOOKUP(E49,'sampling distribution'!$A$1:$C$9,2,FALSE))/4</f>
        <v>6</v>
      </c>
      <c r="L49">
        <f>(VLOOKUP(B49,'sampling distribution'!$A$1:$C$9,3,FALSE)+VLOOKUP(C49,'sampling distribution'!$A$1:$C$9,3,FALSE)+VLOOKUP(D49,'sampling distribution'!$A$1:$C$9,3,FALSE)+VLOOKUP(E49,'sampling distribution'!$A$1:$C$9,3,FALSE))/4</f>
        <v>5.25</v>
      </c>
      <c r="M49">
        <f t="shared" si="0"/>
        <v>0.875</v>
      </c>
      <c r="N49">
        <f>(VLOOKUP(B49,'sampling distribution'!$A$1:$C$9,3,FALSE)+VLOOKUP(C49,'sampling distribution'!$A$1:$C$9,3,FALSE)+VLOOKUP(D49,'sampling distribution'!$A$1:$C$9,3,FALSE)+VLOOKUP(E49,'sampling distribution'!$A$1:$C$9,3,FALSE))*2</f>
        <v>42</v>
      </c>
      <c r="O49">
        <f>M49*SUM('sampling distribution'!$B$2:$B$9)</f>
        <v>41.125</v>
      </c>
    </row>
    <row r="50" spans="1:15" x14ac:dyDescent="0.2">
      <c r="A50">
        <v>49</v>
      </c>
      <c r="B50">
        <v>2</v>
      </c>
      <c r="C50">
        <v>4</v>
      </c>
      <c r="D50">
        <v>6</v>
      </c>
      <c r="E50">
        <v>7</v>
      </c>
      <c r="F50">
        <v>6.25</v>
      </c>
      <c r="G50">
        <v>5</v>
      </c>
      <c r="H50">
        <v>0.8</v>
      </c>
      <c r="I50">
        <v>40</v>
      </c>
      <c r="J50">
        <v>37.6</v>
      </c>
      <c r="K50">
        <f>(VLOOKUP(B50,'sampling distribution'!$A$1:$C$9,2,FALSE)+VLOOKUP(C50,'sampling distribution'!$A$1:$C$9,2,FALSE)+VLOOKUP(D50,'sampling distribution'!$A$1:$C$9,2,FALSE)+VLOOKUP(E50,'sampling distribution'!$A$1:$C$9,2,FALSE))/4</f>
        <v>6.25</v>
      </c>
      <c r="L50">
        <f>(VLOOKUP(B50,'sampling distribution'!$A$1:$C$9,3,FALSE)+VLOOKUP(C50,'sampling distribution'!$A$1:$C$9,3,FALSE)+VLOOKUP(D50,'sampling distribution'!$A$1:$C$9,3,FALSE)+VLOOKUP(E50,'sampling distribution'!$A$1:$C$9,3,FALSE))/4</f>
        <v>5</v>
      </c>
      <c r="M50">
        <f t="shared" si="0"/>
        <v>0.8</v>
      </c>
      <c r="N50">
        <f>(VLOOKUP(B50,'sampling distribution'!$A$1:$C$9,3,FALSE)+VLOOKUP(C50,'sampling distribution'!$A$1:$C$9,3,FALSE)+VLOOKUP(D50,'sampling distribution'!$A$1:$C$9,3,FALSE)+VLOOKUP(E50,'sampling distribution'!$A$1:$C$9,3,FALSE))*2</f>
        <v>40</v>
      </c>
      <c r="O50">
        <f>M50*SUM('sampling distribution'!$B$2:$B$9)</f>
        <v>37.6</v>
      </c>
    </row>
    <row r="51" spans="1:15" x14ac:dyDescent="0.2">
      <c r="A51">
        <v>50</v>
      </c>
      <c r="B51">
        <v>2</v>
      </c>
      <c r="C51">
        <v>4</v>
      </c>
      <c r="D51">
        <v>6</v>
      </c>
      <c r="E51">
        <v>8</v>
      </c>
      <c r="F51">
        <v>5.75</v>
      </c>
      <c r="G51">
        <v>5.25</v>
      </c>
      <c r="H51">
        <v>0.91304350000000001</v>
      </c>
      <c r="I51">
        <v>42</v>
      </c>
      <c r="J51">
        <v>42.913040000000002</v>
      </c>
      <c r="K51">
        <f>(VLOOKUP(B51,'sampling distribution'!$A$1:$C$9,2,FALSE)+VLOOKUP(C51,'sampling distribution'!$A$1:$C$9,2,FALSE)+VLOOKUP(D51,'sampling distribution'!$A$1:$C$9,2,FALSE)+VLOOKUP(E51,'sampling distribution'!$A$1:$C$9,2,FALSE))/4</f>
        <v>5.75</v>
      </c>
      <c r="L51">
        <f>(VLOOKUP(B51,'sampling distribution'!$A$1:$C$9,3,FALSE)+VLOOKUP(C51,'sampling distribution'!$A$1:$C$9,3,FALSE)+VLOOKUP(D51,'sampling distribution'!$A$1:$C$9,3,FALSE)+VLOOKUP(E51,'sampling distribution'!$A$1:$C$9,3,FALSE))/4</f>
        <v>5.25</v>
      </c>
      <c r="M51">
        <f t="shared" si="0"/>
        <v>0.91304347826086951</v>
      </c>
      <c r="N51">
        <f>(VLOOKUP(B51,'sampling distribution'!$A$1:$C$9,3,FALSE)+VLOOKUP(C51,'sampling distribution'!$A$1:$C$9,3,FALSE)+VLOOKUP(D51,'sampling distribution'!$A$1:$C$9,3,FALSE)+VLOOKUP(E51,'sampling distribution'!$A$1:$C$9,3,FALSE))*2</f>
        <v>42</v>
      </c>
      <c r="O51">
        <f>M51*SUM('sampling distribution'!$B$2:$B$9)</f>
        <v>42.913043478260867</v>
      </c>
    </row>
    <row r="52" spans="1:15" x14ac:dyDescent="0.2">
      <c r="A52">
        <v>51</v>
      </c>
      <c r="B52">
        <v>2</v>
      </c>
      <c r="C52">
        <v>4</v>
      </c>
      <c r="D52">
        <v>7</v>
      </c>
      <c r="E52">
        <v>8</v>
      </c>
      <c r="F52">
        <v>5.75</v>
      </c>
      <c r="G52">
        <v>5.25</v>
      </c>
      <c r="H52">
        <v>0.91304350000000001</v>
      </c>
      <c r="I52">
        <v>42</v>
      </c>
      <c r="J52">
        <v>42.913040000000002</v>
      </c>
      <c r="K52">
        <f>(VLOOKUP(B52,'sampling distribution'!$A$1:$C$9,2,FALSE)+VLOOKUP(C52,'sampling distribution'!$A$1:$C$9,2,FALSE)+VLOOKUP(D52,'sampling distribution'!$A$1:$C$9,2,FALSE)+VLOOKUP(E52,'sampling distribution'!$A$1:$C$9,2,FALSE))/4</f>
        <v>5.75</v>
      </c>
      <c r="L52">
        <f>(VLOOKUP(B52,'sampling distribution'!$A$1:$C$9,3,FALSE)+VLOOKUP(C52,'sampling distribution'!$A$1:$C$9,3,FALSE)+VLOOKUP(D52,'sampling distribution'!$A$1:$C$9,3,FALSE)+VLOOKUP(E52,'sampling distribution'!$A$1:$C$9,3,FALSE))/4</f>
        <v>5.25</v>
      </c>
      <c r="M52">
        <f t="shared" si="0"/>
        <v>0.91304347826086951</v>
      </c>
      <c r="N52">
        <f>(VLOOKUP(B52,'sampling distribution'!$A$1:$C$9,3,FALSE)+VLOOKUP(C52,'sampling distribution'!$A$1:$C$9,3,FALSE)+VLOOKUP(D52,'sampling distribution'!$A$1:$C$9,3,FALSE)+VLOOKUP(E52,'sampling distribution'!$A$1:$C$9,3,FALSE))*2</f>
        <v>42</v>
      </c>
      <c r="O52">
        <f>M52*SUM('sampling distribution'!$B$2:$B$9)</f>
        <v>42.913043478260867</v>
      </c>
    </row>
    <row r="53" spans="1:15" x14ac:dyDescent="0.2">
      <c r="A53">
        <v>52</v>
      </c>
      <c r="B53">
        <v>2</v>
      </c>
      <c r="C53">
        <v>5</v>
      </c>
      <c r="D53">
        <v>6</v>
      </c>
      <c r="E53">
        <v>7</v>
      </c>
      <c r="F53">
        <v>6.75</v>
      </c>
      <c r="G53">
        <v>5.75</v>
      </c>
      <c r="H53">
        <v>0.8518519</v>
      </c>
      <c r="I53">
        <v>46</v>
      </c>
      <c r="J53">
        <v>40.037039999999998</v>
      </c>
      <c r="K53">
        <f>(VLOOKUP(B53,'sampling distribution'!$A$1:$C$9,2,FALSE)+VLOOKUP(C53,'sampling distribution'!$A$1:$C$9,2,FALSE)+VLOOKUP(D53,'sampling distribution'!$A$1:$C$9,2,FALSE)+VLOOKUP(E53,'sampling distribution'!$A$1:$C$9,2,FALSE))/4</f>
        <v>6.75</v>
      </c>
      <c r="L53">
        <f>(VLOOKUP(B53,'sampling distribution'!$A$1:$C$9,3,FALSE)+VLOOKUP(C53,'sampling distribution'!$A$1:$C$9,3,FALSE)+VLOOKUP(D53,'sampling distribution'!$A$1:$C$9,3,FALSE)+VLOOKUP(E53,'sampling distribution'!$A$1:$C$9,3,FALSE))/4</f>
        <v>5.75</v>
      </c>
      <c r="M53">
        <f t="shared" si="0"/>
        <v>0.85185185185185186</v>
      </c>
      <c r="N53">
        <f>(VLOOKUP(B53,'sampling distribution'!$A$1:$C$9,3,FALSE)+VLOOKUP(C53,'sampling distribution'!$A$1:$C$9,3,FALSE)+VLOOKUP(D53,'sampling distribution'!$A$1:$C$9,3,FALSE)+VLOOKUP(E53,'sampling distribution'!$A$1:$C$9,3,FALSE))*2</f>
        <v>46</v>
      </c>
      <c r="O53">
        <f>M53*SUM('sampling distribution'!$B$2:$B$9)</f>
        <v>40.037037037037038</v>
      </c>
    </row>
    <row r="54" spans="1:15" x14ac:dyDescent="0.2">
      <c r="A54">
        <v>53</v>
      </c>
      <c r="B54">
        <v>2</v>
      </c>
      <c r="C54">
        <v>5</v>
      </c>
      <c r="D54">
        <v>6</v>
      </c>
      <c r="E54">
        <v>8</v>
      </c>
      <c r="F54">
        <v>6.25</v>
      </c>
      <c r="G54">
        <v>6</v>
      </c>
      <c r="H54">
        <v>0.96</v>
      </c>
      <c r="I54">
        <v>48</v>
      </c>
      <c r="J54">
        <v>45.12</v>
      </c>
      <c r="K54">
        <f>(VLOOKUP(B54,'sampling distribution'!$A$1:$C$9,2,FALSE)+VLOOKUP(C54,'sampling distribution'!$A$1:$C$9,2,FALSE)+VLOOKUP(D54,'sampling distribution'!$A$1:$C$9,2,FALSE)+VLOOKUP(E54,'sampling distribution'!$A$1:$C$9,2,FALSE))/4</f>
        <v>6.25</v>
      </c>
      <c r="L54">
        <f>(VLOOKUP(B54,'sampling distribution'!$A$1:$C$9,3,FALSE)+VLOOKUP(C54,'sampling distribution'!$A$1:$C$9,3,FALSE)+VLOOKUP(D54,'sampling distribution'!$A$1:$C$9,3,FALSE)+VLOOKUP(E54,'sampling distribution'!$A$1:$C$9,3,FALSE))/4</f>
        <v>6</v>
      </c>
      <c r="M54">
        <f t="shared" si="0"/>
        <v>0.96</v>
      </c>
      <c r="N54">
        <f>(VLOOKUP(B54,'sampling distribution'!$A$1:$C$9,3,FALSE)+VLOOKUP(C54,'sampling distribution'!$A$1:$C$9,3,FALSE)+VLOOKUP(D54,'sampling distribution'!$A$1:$C$9,3,FALSE)+VLOOKUP(E54,'sampling distribution'!$A$1:$C$9,3,FALSE))*2</f>
        <v>48</v>
      </c>
      <c r="O54">
        <f>M54*SUM('sampling distribution'!$B$2:$B$9)</f>
        <v>45.12</v>
      </c>
    </row>
    <row r="55" spans="1:15" x14ac:dyDescent="0.2">
      <c r="A55">
        <v>54</v>
      </c>
      <c r="B55">
        <v>2</v>
      </c>
      <c r="C55">
        <v>5</v>
      </c>
      <c r="D55">
        <v>7</v>
      </c>
      <c r="E55">
        <v>8</v>
      </c>
      <c r="F55">
        <v>6.25</v>
      </c>
      <c r="G55">
        <v>6</v>
      </c>
      <c r="H55">
        <v>0.96</v>
      </c>
      <c r="I55">
        <v>48</v>
      </c>
      <c r="J55">
        <v>45.12</v>
      </c>
      <c r="K55">
        <f>(VLOOKUP(B55,'sampling distribution'!$A$1:$C$9,2,FALSE)+VLOOKUP(C55,'sampling distribution'!$A$1:$C$9,2,FALSE)+VLOOKUP(D55,'sampling distribution'!$A$1:$C$9,2,FALSE)+VLOOKUP(E55,'sampling distribution'!$A$1:$C$9,2,FALSE))/4</f>
        <v>6.25</v>
      </c>
      <c r="L55">
        <f>(VLOOKUP(B55,'sampling distribution'!$A$1:$C$9,3,FALSE)+VLOOKUP(C55,'sampling distribution'!$A$1:$C$9,3,FALSE)+VLOOKUP(D55,'sampling distribution'!$A$1:$C$9,3,FALSE)+VLOOKUP(E55,'sampling distribution'!$A$1:$C$9,3,FALSE))/4</f>
        <v>6</v>
      </c>
      <c r="M55">
        <f t="shared" si="0"/>
        <v>0.96</v>
      </c>
      <c r="N55">
        <f>(VLOOKUP(B55,'sampling distribution'!$A$1:$C$9,3,FALSE)+VLOOKUP(C55,'sampling distribution'!$A$1:$C$9,3,FALSE)+VLOOKUP(D55,'sampling distribution'!$A$1:$C$9,3,FALSE)+VLOOKUP(E55,'sampling distribution'!$A$1:$C$9,3,FALSE))*2</f>
        <v>48</v>
      </c>
      <c r="O55">
        <f>M55*SUM('sampling distribution'!$B$2:$B$9)</f>
        <v>45.12</v>
      </c>
    </row>
    <row r="56" spans="1:15" x14ac:dyDescent="0.2">
      <c r="A56">
        <v>55</v>
      </c>
      <c r="B56">
        <v>2</v>
      </c>
      <c r="C56">
        <v>6</v>
      </c>
      <c r="D56">
        <v>7</v>
      </c>
      <c r="E56">
        <v>8</v>
      </c>
      <c r="F56">
        <v>6</v>
      </c>
      <c r="G56">
        <v>6</v>
      </c>
      <c r="H56">
        <v>1</v>
      </c>
      <c r="I56">
        <v>48</v>
      </c>
      <c r="J56">
        <v>47</v>
      </c>
      <c r="K56">
        <f>(VLOOKUP(B56,'sampling distribution'!$A$1:$C$9,2,FALSE)+VLOOKUP(C56,'sampling distribution'!$A$1:$C$9,2,FALSE)+VLOOKUP(D56,'sampling distribution'!$A$1:$C$9,2,FALSE)+VLOOKUP(E56,'sampling distribution'!$A$1:$C$9,2,FALSE))/4</f>
        <v>6</v>
      </c>
      <c r="L56">
        <f>(VLOOKUP(B56,'sampling distribution'!$A$1:$C$9,3,FALSE)+VLOOKUP(C56,'sampling distribution'!$A$1:$C$9,3,FALSE)+VLOOKUP(D56,'sampling distribution'!$A$1:$C$9,3,FALSE)+VLOOKUP(E56,'sampling distribution'!$A$1:$C$9,3,FALSE))/4</f>
        <v>6</v>
      </c>
      <c r="M56">
        <f t="shared" si="0"/>
        <v>1</v>
      </c>
      <c r="N56">
        <f>(VLOOKUP(B56,'sampling distribution'!$A$1:$C$9,3,FALSE)+VLOOKUP(C56,'sampling distribution'!$A$1:$C$9,3,FALSE)+VLOOKUP(D56,'sampling distribution'!$A$1:$C$9,3,FALSE)+VLOOKUP(E56,'sampling distribution'!$A$1:$C$9,3,FALSE))*2</f>
        <v>48</v>
      </c>
      <c r="O56">
        <f>M56*SUM('sampling distribution'!$B$2:$B$9)</f>
        <v>47</v>
      </c>
    </row>
    <row r="57" spans="1:15" x14ac:dyDescent="0.2">
      <c r="A57">
        <v>56</v>
      </c>
      <c r="B57">
        <v>3</v>
      </c>
      <c r="C57">
        <v>4</v>
      </c>
      <c r="D57">
        <v>5</v>
      </c>
      <c r="E57">
        <v>6</v>
      </c>
      <c r="F57">
        <v>6.5</v>
      </c>
      <c r="G57">
        <v>5.5</v>
      </c>
      <c r="H57">
        <v>0.84615379999999996</v>
      </c>
      <c r="I57">
        <v>44</v>
      </c>
      <c r="J57">
        <v>39.76923</v>
      </c>
      <c r="K57">
        <f>(VLOOKUP(B57,'sampling distribution'!$A$1:$C$9,2,FALSE)+VLOOKUP(C57,'sampling distribution'!$A$1:$C$9,2,FALSE)+VLOOKUP(D57,'sampling distribution'!$A$1:$C$9,2,FALSE)+VLOOKUP(E57,'sampling distribution'!$A$1:$C$9,2,FALSE))/4</f>
        <v>6.5</v>
      </c>
      <c r="L57">
        <f>(VLOOKUP(B57,'sampling distribution'!$A$1:$C$9,3,FALSE)+VLOOKUP(C57,'sampling distribution'!$A$1:$C$9,3,FALSE)+VLOOKUP(D57,'sampling distribution'!$A$1:$C$9,3,FALSE)+VLOOKUP(E57,'sampling distribution'!$A$1:$C$9,3,FALSE))/4</f>
        <v>5.5</v>
      </c>
      <c r="M57">
        <f t="shared" si="0"/>
        <v>0.84615384615384615</v>
      </c>
      <c r="N57">
        <f>(VLOOKUP(B57,'sampling distribution'!$A$1:$C$9,3,FALSE)+VLOOKUP(C57,'sampling distribution'!$A$1:$C$9,3,FALSE)+VLOOKUP(D57,'sampling distribution'!$A$1:$C$9,3,FALSE)+VLOOKUP(E57,'sampling distribution'!$A$1:$C$9,3,FALSE))*2</f>
        <v>44</v>
      </c>
      <c r="O57">
        <f>M57*SUM('sampling distribution'!$B$2:$B$9)</f>
        <v>39.769230769230766</v>
      </c>
    </row>
    <row r="58" spans="1:15" x14ac:dyDescent="0.2">
      <c r="A58">
        <v>57</v>
      </c>
      <c r="B58">
        <v>3</v>
      </c>
      <c r="C58">
        <v>4</v>
      </c>
      <c r="D58">
        <v>5</v>
      </c>
      <c r="E58">
        <v>7</v>
      </c>
      <c r="F58">
        <v>6.5</v>
      </c>
      <c r="G58">
        <v>5.5</v>
      </c>
      <c r="H58">
        <v>0.84615379999999996</v>
      </c>
      <c r="I58">
        <v>44</v>
      </c>
      <c r="J58">
        <v>39.76923</v>
      </c>
      <c r="K58">
        <f>(VLOOKUP(B58,'sampling distribution'!$A$1:$C$9,2,FALSE)+VLOOKUP(C58,'sampling distribution'!$A$1:$C$9,2,FALSE)+VLOOKUP(D58,'sampling distribution'!$A$1:$C$9,2,FALSE)+VLOOKUP(E58,'sampling distribution'!$A$1:$C$9,2,FALSE))/4</f>
        <v>6.5</v>
      </c>
      <c r="L58">
        <f>(VLOOKUP(B58,'sampling distribution'!$A$1:$C$9,3,FALSE)+VLOOKUP(C58,'sampling distribution'!$A$1:$C$9,3,FALSE)+VLOOKUP(D58,'sampling distribution'!$A$1:$C$9,3,FALSE)+VLOOKUP(E58,'sampling distribution'!$A$1:$C$9,3,FALSE))/4</f>
        <v>5.5</v>
      </c>
      <c r="M58">
        <f t="shared" si="0"/>
        <v>0.84615384615384615</v>
      </c>
      <c r="N58">
        <f>(VLOOKUP(B58,'sampling distribution'!$A$1:$C$9,3,FALSE)+VLOOKUP(C58,'sampling distribution'!$A$1:$C$9,3,FALSE)+VLOOKUP(D58,'sampling distribution'!$A$1:$C$9,3,FALSE)+VLOOKUP(E58,'sampling distribution'!$A$1:$C$9,3,FALSE))*2</f>
        <v>44</v>
      </c>
      <c r="O58">
        <f>M58*SUM('sampling distribution'!$B$2:$B$9)</f>
        <v>39.769230769230766</v>
      </c>
    </row>
    <row r="59" spans="1:15" x14ac:dyDescent="0.2">
      <c r="A59">
        <v>58</v>
      </c>
      <c r="B59">
        <v>3</v>
      </c>
      <c r="C59">
        <v>4</v>
      </c>
      <c r="D59">
        <v>5</v>
      </c>
      <c r="E59">
        <v>8</v>
      </c>
      <c r="F59">
        <v>6</v>
      </c>
      <c r="G59">
        <v>5.75</v>
      </c>
      <c r="H59">
        <v>0.95833330000000005</v>
      </c>
      <c r="I59">
        <v>46</v>
      </c>
      <c r="J59">
        <v>45.041670000000003</v>
      </c>
      <c r="K59">
        <f>(VLOOKUP(B59,'sampling distribution'!$A$1:$C$9,2,FALSE)+VLOOKUP(C59,'sampling distribution'!$A$1:$C$9,2,FALSE)+VLOOKUP(D59,'sampling distribution'!$A$1:$C$9,2,FALSE)+VLOOKUP(E59,'sampling distribution'!$A$1:$C$9,2,FALSE))/4</f>
        <v>6</v>
      </c>
      <c r="L59">
        <f>(VLOOKUP(B59,'sampling distribution'!$A$1:$C$9,3,FALSE)+VLOOKUP(C59,'sampling distribution'!$A$1:$C$9,3,FALSE)+VLOOKUP(D59,'sampling distribution'!$A$1:$C$9,3,FALSE)+VLOOKUP(E59,'sampling distribution'!$A$1:$C$9,3,FALSE))/4</f>
        <v>5.75</v>
      </c>
      <c r="M59">
        <f t="shared" si="0"/>
        <v>0.95833333333333337</v>
      </c>
      <c r="N59">
        <f>(VLOOKUP(B59,'sampling distribution'!$A$1:$C$9,3,FALSE)+VLOOKUP(C59,'sampling distribution'!$A$1:$C$9,3,FALSE)+VLOOKUP(D59,'sampling distribution'!$A$1:$C$9,3,FALSE)+VLOOKUP(E59,'sampling distribution'!$A$1:$C$9,3,FALSE))*2</f>
        <v>46</v>
      </c>
      <c r="O59">
        <f>M59*SUM('sampling distribution'!$B$2:$B$9)</f>
        <v>45.041666666666671</v>
      </c>
    </row>
    <row r="60" spans="1:15" x14ac:dyDescent="0.2">
      <c r="A60">
        <v>59</v>
      </c>
      <c r="B60">
        <v>3</v>
      </c>
      <c r="C60">
        <v>4</v>
      </c>
      <c r="D60">
        <v>6</v>
      </c>
      <c r="E60">
        <v>7</v>
      </c>
      <c r="F60">
        <v>6.25</v>
      </c>
      <c r="G60">
        <v>5.5</v>
      </c>
      <c r="H60">
        <v>0.88</v>
      </c>
      <c r="I60">
        <v>44</v>
      </c>
      <c r="J60">
        <v>41.36</v>
      </c>
      <c r="K60">
        <f>(VLOOKUP(B60,'sampling distribution'!$A$1:$C$9,2,FALSE)+VLOOKUP(C60,'sampling distribution'!$A$1:$C$9,2,FALSE)+VLOOKUP(D60,'sampling distribution'!$A$1:$C$9,2,FALSE)+VLOOKUP(E60,'sampling distribution'!$A$1:$C$9,2,FALSE))/4</f>
        <v>6.25</v>
      </c>
      <c r="L60">
        <f>(VLOOKUP(B60,'sampling distribution'!$A$1:$C$9,3,FALSE)+VLOOKUP(C60,'sampling distribution'!$A$1:$C$9,3,FALSE)+VLOOKUP(D60,'sampling distribution'!$A$1:$C$9,3,FALSE)+VLOOKUP(E60,'sampling distribution'!$A$1:$C$9,3,FALSE))/4</f>
        <v>5.5</v>
      </c>
      <c r="M60">
        <f t="shared" si="0"/>
        <v>0.88</v>
      </c>
      <c r="N60">
        <f>(VLOOKUP(B60,'sampling distribution'!$A$1:$C$9,3,FALSE)+VLOOKUP(C60,'sampling distribution'!$A$1:$C$9,3,FALSE)+VLOOKUP(D60,'sampling distribution'!$A$1:$C$9,3,FALSE)+VLOOKUP(E60,'sampling distribution'!$A$1:$C$9,3,FALSE))*2</f>
        <v>44</v>
      </c>
      <c r="O60">
        <f>M60*SUM('sampling distribution'!$B$2:$B$9)</f>
        <v>41.36</v>
      </c>
    </row>
    <row r="61" spans="1:15" x14ac:dyDescent="0.2">
      <c r="A61">
        <v>60</v>
      </c>
      <c r="B61">
        <v>3</v>
      </c>
      <c r="C61">
        <v>4</v>
      </c>
      <c r="D61">
        <v>6</v>
      </c>
      <c r="E61">
        <v>8</v>
      </c>
      <c r="F61">
        <v>5.75</v>
      </c>
      <c r="G61">
        <v>5.75</v>
      </c>
      <c r="H61">
        <v>1</v>
      </c>
      <c r="I61">
        <v>46</v>
      </c>
      <c r="J61">
        <v>47</v>
      </c>
      <c r="K61">
        <f>(VLOOKUP(B61,'sampling distribution'!$A$1:$C$9,2,FALSE)+VLOOKUP(C61,'sampling distribution'!$A$1:$C$9,2,FALSE)+VLOOKUP(D61,'sampling distribution'!$A$1:$C$9,2,FALSE)+VLOOKUP(E61,'sampling distribution'!$A$1:$C$9,2,FALSE))/4</f>
        <v>5.75</v>
      </c>
      <c r="L61">
        <f>(VLOOKUP(B61,'sampling distribution'!$A$1:$C$9,3,FALSE)+VLOOKUP(C61,'sampling distribution'!$A$1:$C$9,3,FALSE)+VLOOKUP(D61,'sampling distribution'!$A$1:$C$9,3,FALSE)+VLOOKUP(E61,'sampling distribution'!$A$1:$C$9,3,FALSE))/4</f>
        <v>5.75</v>
      </c>
      <c r="M61">
        <f t="shared" si="0"/>
        <v>1</v>
      </c>
      <c r="N61">
        <f>(VLOOKUP(B61,'sampling distribution'!$A$1:$C$9,3,FALSE)+VLOOKUP(C61,'sampling distribution'!$A$1:$C$9,3,FALSE)+VLOOKUP(D61,'sampling distribution'!$A$1:$C$9,3,FALSE)+VLOOKUP(E61,'sampling distribution'!$A$1:$C$9,3,FALSE))*2</f>
        <v>46</v>
      </c>
      <c r="O61">
        <f>M61*SUM('sampling distribution'!$B$2:$B$9)</f>
        <v>47</v>
      </c>
    </row>
    <row r="62" spans="1:15" x14ac:dyDescent="0.2">
      <c r="A62">
        <v>61</v>
      </c>
      <c r="B62">
        <v>3</v>
      </c>
      <c r="C62">
        <v>4</v>
      </c>
      <c r="D62">
        <v>7</v>
      </c>
      <c r="E62">
        <v>8</v>
      </c>
      <c r="F62">
        <v>5.75</v>
      </c>
      <c r="G62">
        <v>5.75</v>
      </c>
      <c r="H62">
        <v>1</v>
      </c>
      <c r="I62">
        <v>46</v>
      </c>
      <c r="J62">
        <v>47</v>
      </c>
      <c r="K62">
        <f>(VLOOKUP(B62,'sampling distribution'!$A$1:$C$9,2,FALSE)+VLOOKUP(C62,'sampling distribution'!$A$1:$C$9,2,FALSE)+VLOOKUP(D62,'sampling distribution'!$A$1:$C$9,2,FALSE)+VLOOKUP(E62,'sampling distribution'!$A$1:$C$9,2,FALSE))/4</f>
        <v>5.75</v>
      </c>
      <c r="L62">
        <f>(VLOOKUP(B62,'sampling distribution'!$A$1:$C$9,3,FALSE)+VLOOKUP(C62,'sampling distribution'!$A$1:$C$9,3,FALSE)+VLOOKUP(D62,'sampling distribution'!$A$1:$C$9,3,FALSE)+VLOOKUP(E62,'sampling distribution'!$A$1:$C$9,3,FALSE))/4</f>
        <v>5.75</v>
      </c>
      <c r="M62">
        <f t="shared" si="0"/>
        <v>1</v>
      </c>
      <c r="N62">
        <f>(VLOOKUP(B62,'sampling distribution'!$A$1:$C$9,3,FALSE)+VLOOKUP(C62,'sampling distribution'!$A$1:$C$9,3,FALSE)+VLOOKUP(D62,'sampling distribution'!$A$1:$C$9,3,FALSE)+VLOOKUP(E62,'sampling distribution'!$A$1:$C$9,3,FALSE))*2</f>
        <v>46</v>
      </c>
      <c r="O62">
        <f>M62*SUM('sampling distribution'!$B$2:$B$9)</f>
        <v>47</v>
      </c>
    </row>
    <row r="63" spans="1:15" x14ac:dyDescent="0.2">
      <c r="A63">
        <v>62</v>
      </c>
      <c r="B63">
        <v>3</v>
      </c>
      <c r="C63">
        <v>5</v>
      </c>
      <c r="D63">
        <v>6</v>
      </c>
      <c r="E63">
        <v>7</v>
      </c>
      <c r="F63">
        <v>6.75</v>
      </c>
      <c r="G63">
        <v>6.25</v>
      </c>
      <c r="H63">
        <v>0.92592589999999997</v>
      </c>
      <c r="I63">
        <v>50</v>
      </c>
      <c r="J63">
        <v>43.518520000000002</v>
      </c>
      <c r="K63">
        <f>(VLOOKUP(B63,'sampling distribution'!$A$1:$C$9,2,FALSE)+VLOOKUP(C63,'sampling distribution'!$A$1:$C$9,2,FALSE)+VLOOKUP(D63,'sampling distribution'!$A$1:$C$9,2,FALSE)+VLOOKUP(E63,'sampling distribution'!$A$1:$C$9,2,FALSE))/4</f>
        <v>6.75</v>
      </c>
      <c r="L63">
        <f>(VLOOKUP(B63,'sampling distribution'!$A$1:$C$9,3,FALSE)+VLOOKUP(C63,'sampling distribution'!$A$1:$C$9,3,FALSE)+VLOOKUP(D63,'sampling distribution'!$A$1:$C$9,3,FALSE)+VLOOKUP(E63,'sampling distribution'!$A$1:$C$9,3,FALSE))/4</f>
        <v>6.25</v>
      </c>
      <c r="M63">
        <f t="shared" si="0"/>
        <v>0.92592592592592593</v>
      </c>
      <c r="N63">
        <f>(VLOOKUP(B63,'sampling distribution'!$A$1:$C$9,3,FALSE)+VLOOKUP(C63,'sampling distribution'!$A$1:$C$9,3,FALSE)+VLOOKUP(D63,'sampling distribution'!$A$1:$C$9,3,FALSE)+VLOOKUP(E63,'sampling distribution'!$A$1:$C$9,3,FALSE))*2</f>
        <v>50</v>
      </c>
      <c r="O63">
        <f>M63*SUM('sampling distribution'!$B$2:$B$9)</f>
        <v>43.518518518518519</v>
      </c>
    </row>
    <row r="64" spans="1:15" x14ac:dyDescent="0.2">
      <c r="A64">
        <v>63</v>
      </c>
      <c r="B64">
        <v>3</v>
      </c>
      <c r="C64">
        <v>5</v>
      </c>
      <c r="D64">
        <v>6</v>
      </c>
      <c r="E64">
        <v>8</v>
      </c>
      <c r="F64">
        <v>6.25</v>
      </c>
      <c r="G64">
        <v>6.5</v>
      </c>
      <c r="H64">
        <v>1.04</v>
      </c>
      <c r="I64">
        <v>52</v>
      </c>
      <c r="J64">
        <v>48.88</v>
      </c>
      <c r="K64">
        <f>(VLOOKUP(B64,'sampling distribution'!$A$1:$C$9,2,FALSE)+VLOOKUP(C64,'sampling distribution'!$A$1:$C$9,2,FALSE)+VLOOKUP(D64,'sampling distribution'!$A$1:$C$9,2,FALSE)+VLOOKUP(E64,'sampling distribution'!$A$1:$C$9,2,FALSE))/4</f>
        <v>6.25</v>
      </c>
      <c r="L64">
        <f>(VLOOKUP(B64,'sampling distribution'!$A$1:$C$9,3,FALSE)+VLOOKUP(C64,'sampling distribution'!$A$1:$C$9,3,FALSE)+VLOOKUP(D64,'sampling distribution'!$A$1:$C$9,3,FALSE)+VLOOKUP(E64,'sampling distribution'!$A$1:$C$9,3,FALSE))/4</f>
        <v>6.5</v>
      </c>
      <c r="M64">
        <f t="shared" si="0"/>
        <v>1.04</v>
      </c>
      <c r="N64">
        <f>(VLOOKUP(B64,'sampling distribution'!$A$1:$C$9,3,FALSE)+VLOOKUP(C64,'sampling distribution'!$A$1:$C$9,3,FALSE)+VLOOKUP(D64,'sampling distribution'!$A$1:$C$9,3,FALSE)+VLOOKUP(E64,'sampling distribution'!$A$1:$C$9,3,FALSE))*2</f>
        <v>52</v>
      </c>
      <c r="O64">
        <f>M64*SUM('sampling distribution'!$B$2:$B$9)</f>
        <v>48.88</v>
      </c>
    </row>
    <row r="65" spans="1:15" x14ac:dyDescent="0.2">
      <c r="A65">
        <v>64</v>
      </c>
      <c r="B65">
        <v>3</v>
      </c>
      <c r="C65">
        <v>5</v>
      </c>
      <c r="D65">
        <v>7</v>
      </c>
      <c r="E65">
        <v>8</v>
      </c>
      <c r="F65">
        <v>6.25</v>
      </c>
      <c r="G65">
        <v>6.5</v>
      </c>
      <c r="H65">
        <v>1.04</v>
      </c>
      <c r="I65">
        <v>52</v>
      </c>
      <c r="J65">
        <v>48.88</v>
      </c>
      <c r="K65">
        <f>(VLOOKUP(B65,'sampling distribution'!$A$1:$C$9,2,FALSE)+VLOOKUP(C65,'sampling distribution'!$A$1:$C$9,2,FALSE)+VLOOKUP(D65,'sampling distribution'!$A$1:$C$9,2,FALSE)+VLOOKUP(E65,'sampling distribution'!$A$1:$C$9,2,FALSE))/4</f>
        <v>6.25</v>
      </c>
      <c r="L65">
        <f>(VLOOKUP(B65,'sampling distribution'!$A$1:$C$9,3,FALSE)+VLOOKUP(C65,'sampling distribution'!$A$1:$C$9,3,FALSE)+VLOOKUP(D65,'sampling distribution'!$A$1:$C$9,3,FALSE)+VLOOKUP(E65,'sampling distribution'!$A$1:$C$9,3,FALSE))/4</f>
        <v>6.5</v>
      </c>
      <c r="M65">
        <f t="shared" si="0"/>
        <v>1.04</v>
      </c>
      <c r="N65">
        <f>(VLOOKUP(B65,'sampling distribution'!$A$1:$C$9,3,FALSE)+VLOOKUP(C65,'sampling distribution'!$A$1:$C$9,3,FALSE)+VLOOKUP(D65,'sampling distribution'!$A$1:$C$9,3,FALSE)+VLOOKUP(E65,'sampling distribution'!$A$1:$C$9,3,FALSE))*2</f>
        <v>52</v>
      </c>
      <c r="O65">
        <f>M65*SUM('sampling distribution'!$B$2:$B$9)</f>
        <v>48.88</v>
      </c>
    </row>
    <row r="66" spans="1:15" x14ac:dyDescent="0.2">
      <c r="A66">
        <v>65</v>
      </c>
      <c r="B66">
        <v>3</v>
      </c>
      <c r="C66">
        <v>6</v>
      </c>
      <c r="D66">
        <v>7</v>
      </c>
      <c r="E66">
        <v>8</v>
      </c>
      <c r="F66">
        <v>6</v>
      </c>
      <c r="G66">
        <v>6.5</v>
      </c>
      <c r="H66">
        <v>1.0833333000000001</v>
      </c>
      <c r="I66">
        <v>52</v>
      </c>
      <c r="J66">
        <v>50.916670000000003</v>
      </c>
      <c r="K66">
        <f>(VLOOKUP(B66,'sampling distribution'!$A$1:$C$9,2,FALSE)+VLOOKUP(C66,'sampling distribution'!$A$1:$C$9,2,FALSE)+VLOOKUP(D66,'sampling distribution'!$A$1:$C$9,2,FALSE)+VLOOKUP(E66,'sampling distribution'!$A$1:$C$9,2,FALSE))/4</f>
        <v>6</v>
      </c>
      <c r="L66">
        <f>(VLOOKUP(B66,'sampling distribution'!$A$1:$C$9,3,FALSE)+VLOOKUP(C66,'sampling distribution'!$A$1:$C$9,3,FALSE)+VLOOKUP(D66,'sampling distribution'!$A$1:$C$9,3,FALSE)+VLOOKUP(E66,'sampling distribution'!$A$1:$C$9,3,FALSE))/4</f>
        <v>6.5</v>
      </c>
      <c r="M66">
        <f t="shared" si="0"/>
        <v>1.0833333333333333</v>
      </c>
      <c r="N66">
        <f>(VLOOKUP(B66,'sampling distribution'!$A$1:$C$9,3,FALSE)+VLOOKUP(C66,'sampling distribution'!$A$1:$C$9,3,FALSE)+VLOOKUP(D66,'sampling distribution'!$A$1:$C$9,3,FALSE)+VLOOKUP(E66,'sampling distribution'!$A$1:$C$9,3,FALSE))*2</f>
        <v>52</v>
      </c>
      <c r="O66">
        <f>M66*SUM('sampling distribution'!$B$2:$B$9)</f>
        <v>50.916666666666664</v>
      </c>
    </row>
    <row r="67" spans="1:15" x14ac:dyDescent="0.2">
      <c r="A67">
        <v>66</v>
      </c>
      <c r="B67">
        <v>4</v>
      </c>
      <c r="C67">
        <v>5</v>
      </c>
      <c r="D67">
        <v>6</v>
      </c>
      <c r="E67">
        <v>7</v>
      </c>
      <c r="F67">
        <v>7</v>
      </c>
      <c r="G67">
        <v>6.25</v>
      </c>
      <c r="H67">
        <v>0.89285709999999996</v>
      </c>
      <c r="I67">
        <v>50</v>
      </c>
      <c r="J67">
        <v>41.964289999999998</v>
      </c>
      <c r="K67">
        <f>(VLOOKUP(B67,'sampling distribution'!$A$1:$C$9,2,FALSE)+VLOOKUP(C67,'sampling distribution'!$A$1:$C$9,2,FALSE)+VLOOKUP(D67,'sampling distribution'!$A$1:$C$9,2,FALSE)+VLOOKUP(E67,'sampling distribution'!$A$1:$C$9,2,FALSE))/4</f>
        <v>7</v>
      </c>
      <c r="L67">
        <f>(VLOOKUP(B67,'sampling distribution'!$A$1:$C$9,3,FALSE)+VLOOKUP(C67,'sampling distribution'!$A$1:$C$9,3,FALSE)+VLOOKUP(D67,'sampling distribution'!$A$1:$C$9,3,FALSE)+VLOOKUP(E67,'sampling distribution'!$A$1:$C$9,3,FALSE))/4</f>
        <v>6.25</v>
      </c>
      <c r="M67">
        <f t="shared" ref="M67:M71" si="1">L67/K67</f>
        <v>0.8928571428571429</v>
      </c>
      <c r="N67">
        <f>(VLOOKUP(B67,'sampling distribution'!$A$1:$C$9,3,FALSE)+VLOOKUP(C67,'sampling distribution'!$A$1:$C$9,3,FALSE)+VLOOKUP(D67,'sampling distribution'!$A$1:$C$9,3,FALSE)+VLOOKUP(E67,'sampling distribution'!$A$1:$C$9,3,FALSE))*2</f>
        <v>50</v>
      </c>
      <c r="O67">
        <f>M67*SUM('sampling distribution'!$B$2:$B$9)</f>
        <v>41.964285714285715</v>
      </c>
    </row>
    <row r="68" spans="1:15" x14ac:dyDescent="0.2">
      <c r="A68">
        <v>67</v>
      </c>
      <c r="B68">
        <v>4</v>
      </c>
      <c r="C68">
        <v>5</v>
      </c>
      <c r="D68">
        <v>6</v>
      </c>
      <c r="E68">
        <v>8</v>
      </c>
      <c r="F68">
        <v>6.5</v>
      </c>
      <c r="G68">
        <v>6.5</v>
      </c>
      <c r="H68">
        <v>1</v>
      </c>
      <c r="I68">
        <v>52</v>
      </c>
      <c r="J68">
        <v>47</v>
      </c>
      <c r="K68">
        <f>(VLOOKUP(B68,'sampling distribution'!$A$1:$C$9,2,FALSE)+VLOOKUP(C68,'sampling distribution'!$A$1:$C$9,2,FALSE)+VLOOKUP(D68,'sampling distribution'!$A$1:$C$9,2,FALSE)+VLOOKUP(E68,'sampling distribution'!$A$1:$C$9,2,FALSE))/4</f>
        <v>6.5</v>
      </c>
      <c r="L68">
        <f>(VLOOKUP(B68,'sampling distribution'!$A$1:$C$9,3,FALSE)+VLOOKUP(C68,'sampling distribution'!$A$1:$C$9,3,FALSE)+VLOOKUP(D68,'sampling distribution'!$A$1:$C$9,3,FALSE)+VLOOKUP(E68,'sampling distribution'!$A$1:$C$9,3,FALSE))/4</f>
        <v>6.5</v>
      </c>
      <c r="M68">
        <f t="shared" si="1"/>
        <v>1</v>
      </c>
      <c r="N68">
        <f>(VLOOKUP(B68,'sampling distribution'!$A$1:$C$9,3,FALSE)+VLOOKUP(C68,'sampling distribution'!$A$1:$C$9,3,FALSE)+VLOOKUP(D68,'sampling distribution'!$A$1:$C$9,3,FALSE)+VLOOKUP(E68,'sampling distribution'!$A$1:$C$9,3,FALSE))*2</f>
        <v>52</v>
      </c>
      <c r="O68">
        <f>M68*SUM('sampling distribution'!$B$2:$B$9)</f>
        <v>47</v>
      </c>
    </row>
    <row r="69" spans="1:15" x14ac:dyDescent="0.2">
      <c r="A69">
        <v>68</v>
      </c>
      <c r="B69">
        <v>4</v>
      </c>
      <c r="C69">
        <v>5</v>
      </c>
      <c r="D69">
        <v>7</v>
      </c>
      <c r="E69">
        <v>8</v>
      </c>
      <c r="F69">
        <v>6.5</v>
      </c>
      <c r="G69">
        <v>6.5</v>
      </c>
      <c r="H69">
        <v>1</v>
      </c>
      <c r="I69">
        <v>52</v>
      </c>
      <c r="J69">
        <v>47</v>
      </c>
      <c r="K69">
        <f>(VLOOKUP(B69,'sampling distribution'!$A$1:$C$9,2,FALSE)+VLOOKUP(C69,'sampling distribution'!$A$1:$C$9,2,FALSE)+VLOOKUP(D69,'sampling distribution'!$A$1:$C$9,2,FALSE)+VLOOKUP(E69,'sampling distribution'!$A$1:$C$9,2,FALSE))/4</f>
        <v>6.5</v>
      </c>
      <c r="L69">
        <f>(VLOOKUP(B69,'sampling distribution'!$A$1:$C$9,3,FALSE)+VLOOKUP(C69,'sampling distribution'!$A$1:$C$9,3,FALSE)+VLOOKUP(D69,'sampling distribution'!$A$1:$C$9,3,FALSE)+VLOOKUP(E69,'sampling distribution'!$A$1:$C$9,3,FALSE))/4</f>
        <v>6.5</v>
      </c>
      <c r="M69">
        <f t="shared" si="1"/>
        <v>1</v>
      </c>
      <c r="N69">
        <f>(VLOOKUP(B69,'sampling distribution'!$A$1:$C$9,3,FALSE)+VLOOKUP(C69,'sampling distribution'!$A$1:$C$9,3,FALSE)+VLOOKUP(D69,'sampling distribution'!$A$1:$C$9,3,FALSE)+VLOOKUP(E69,'sampling distribution'!$A$1:$C$9,3,FALSE))*2</f>
        <v>52</v>
      </c>
      <c r="O69">
        <f>M69*SUM('sampling distribution'!$B$2:$B$9)</f>
        <v>47</v>
      </c>
    </row>
    <row r="70" spans="1:15" x14ac:dyDescent="0.2">
      <c r="A70">
        <v>69</v>
      </c>
      <c r="B70">
        <v>4</v>
      </c>
      <c r="C70">
        <v>6</v>
      </c>
      <c r="D70">
        <v>7</v>
      </c>
      <c r="E70">
        <v>8</v>
      </c>
      <c r="F70">
        <v>6.25</v>
      </c>
      <c r="G70">
        <v>6.5</v>
      </c>
      <c r="H70">
        <v>1.04</v>
      </c>
      <c r="I70">
        <v>52</v>
      </c>
      <c r="J70">
        <v>48.88</v>
      </c>
      <c r="K70">
        <f>(VLOOKUP(B70,'sampling distribution'!$A$1:$C$9,2,FALSE)+VLOOKUP(C70,'sampling distribution'!$A$1:$C$9,2,FALSE)+VLOOKUP(D70,'sampling distribution'!$A$1:$C$9,2,FALSE)+VLOOKUP(E70,'sampling distribution'!$A$1:$C$9,2,FALSE))/4</f>
        <v>6.25</v>
      </c>
      <c r="L70">
        <f>(VLOOKUP(B70,'sampling distribution'!$A$1:$C$9,3,FALSE)+VLOOKUP(C70,'sampling distribution'!$A$1:$C$9,3,FALSE)+VLOOKUP(D70,'sampling distribution'!$A$1:$C$9,3,FALSE)+VLOOKUP(E70,'sampling distribution'!$A$1:$C$9,3,FALSE))/4</f>
        <v>6.5</v>
      </c>
      <c r="M70">
        <f t="shared" si="1"/>
        <v>1.04</v>
      </c>
      <c r="N70">
        <f>(VLOOKUP(B70,'sampling distribution'!$A$1:$C$9,3,FALSE)+VLOOKUP(C70,'sampling distribution'!$A$1:$C$9,3,FALSE)+VLOOKUP(D70,'sampling distribution'!$A$1:$C$9,3,FALSE)+VLOOKUP(E70,'sampling distribution'!$A$1:$C$9,3,FALSE))*2</f>
        <v>52</v>
      </c>
      <c r="O70">
        <f>M70*SUM('sampling distribution'!$B$2:$B$9)</f>
        <v>48.88</v>
      </c>
    </row>
    <row r="71" spans="1:15" x14ac:dyDescent="0.2">
      <c r="A71">
        <v>70</v>
      </c>
      <c r="B71">
        <v>5</v>
      </c>
      <c r="C71">
        <v>6</v>
      </c>
      <c r="D71">
        <v>7</v>
      </c>
      <c r="E71">
        <v>8</v>
      </c>
      <c r="F71">
        <v>6.75</v>
      </c>
      <c r="G71">
        <v>7.25</v>
      </c>
      <c r="H71">
        <v>1.0740741</v>
      </c>
      <c r="I71">
        <v>58</v>
      </c>
      <c r="J71">
        <v>50.481479999999998</v>
      </c>
      <c r="K71">
        <f>(VLOOKUP(B71,'sampling distribution'!$A$1:$C$9,2,FALSE)+VLOOKUP(C71,'sampling distribution'!$A$1:$C$9,2,FALSE)+VLOOKUP(D71,'sampling distribution'!$A$1:$C$9,2,FALSE)+VLOOKUP(E71,'sampling distribution'!$A$1:$C$9,2,FALSE))/4</f>
        <v>6.75</v>
      </c>
      <c r="L71">
        <f>(VLOOKUP(B71,'sampling distribution'!$A$1:$C$9,3,FALSE)+VLOOKUP(C71,'sampling distribution'!$A$1:$C$9,3,FALSE)+VLOOKUP(D71,'sampling distribution'!$A$1:$C$9,3,FALSE)+VLOOKUP(E71,'sampling distribution'!$A$1:$C$9,3,FALSE))/4</f>
        <v>7.25</v>
      </c>
      <c r="M71">
        <f t="shared" si="1"/>
        <v>1.0740740740740742</v>
      </c>
      <c r="N71">
        <f>(VLOOKUP(B71,'sampling distribution'!$A$1:$C$9,3,FALSE)+VLOOKUP(C71,'sampling distribution'!$A$1:$C$9,3,FALSE)+VLOOKUP(D71,'sampling distribution'!$A$1:$C$9,3,FALSE)+VLOOKUP(E71,'sampling distribution'!$A$1:$C$9,3,FALSE))*2</f>
        <v>58</v>
      </c>
    </row>
    <row r="73" spans="1:15" x14ac:dyDescent="0.2">
      <c r="A73" t="s">
        <v>10</v>
      </c>
      <c r="F73">
        <v>5.875</v>
      </c>
      <c r="G73">
        <v>5</v>
      </c>
      <c r="H73">
        <v>0.84788571099999999</v>
      </c>
      <c r="I73">
        <v>40</v>
      </c>
      <c r="J73">
        <v>39.85062843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G7" sqref="G7"/>
    </sheetView>
  </sheetViews>
  <sheetFormatPr baseColWidth="10" defaultColWidth="8.83203125" defaultRowHeight="15" x14ac:dyDescent="0.2"/>
  <sheetData>
    <row r="1" spans="1:3" x14ac:dyDescent="0.2">
      <c r="B1" t="s">
        <v>13</v>
      </c>
      <c r="C1" t="s">
        <v>14</v>
      </c>
    </row>
    <row r="2" spans="1:3" x14ac:dyDescent="0.2">
      <c r="A2">
        <v>1</v>
      </c>
      <c r="B2">
        <v>4</v>
      </c>
      <c r="C2">
        <v>1</v>
      </c>
    </row>
    <row r="3" spans="1:3" x14ac:dyDescent="0.2">
      <c r="A3">
        <v>2</v>
      </c>
      <c r="B3">
        <v>5</v>
      </c>
      <c r="C3">
        <v>2</v>
      </c>
    </row>
    <row r="4" spans="1:3" x14ac:dyDescent="0.2">
      <c r="A4">
        <v>3</v>
      </c>
      <c r="B4">
        <v>5</v>
      </c>
      <c r="C4">
        <v>4</v>
      </c>
    </row>
    <row r="5" spans="1:3" x14ac:dyDescent="0.2">
      <c r="A5">
        <v>4</v>
      </c>
      <c r="B5">
        <v>6</v>
      </c>
      <c r="C5">
        <v>4</v>
      </c>
    </row>
    <row r="6" spans="1:3" x14ac:dyDescent="0.2">
      <c r="A6">
        <v>5</v>
      </c>
      <c r="B6">
        <v>8</v>
      </c>
      <c r="C6">
        <v>7</v>
      </c>
    </row>
    <row r="7" spans="1:3" x14ac:dyDescent="0.2">
      <c r="A7">
        <v>6</v>
      </c>
      <c r="B7">
        <v>7</v>
      </c>
      <c r="C7">
        <v>7</v>
      </c>
    </row>
    <row r="8" spans="1:3" x14ac:dyDescent="0.2">
      <c r="A8">
        <v>7</v>
      </c>
      <c r="B8">
        <v>7</v>
      </c>
      <c r="C8">
        <v>7</v>
      </c>
    </row>
    <row r="9" spans="1:3" x14ac:dyDescent="0.2">
      <c r="A9">
        <v>8</v>
      </c>
      <c r="B9">
        <v>5</v>
      </c>
      <c r="C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artifratio</vt:lpstr>
      <vt:lpstr>sampling distribution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Statlab2cpu12</dc:creator>
  <cp:lastModifiedBy>Microsoft Office User</cp:lastModifiedBy>
  <dcterms:created xsi:type="dcterms:W3CDTF">2017-04-20T12:43:04Z</dcterms:created>
  <dcterms:modified xsi:type="dcterms:W3CDTF">2017-04-20T12:48:29Z</dcterms:modified>
</cp:coreProperties>
</file>