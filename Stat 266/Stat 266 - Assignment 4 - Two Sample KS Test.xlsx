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user\Dropbox\MasterOfStatistics\stat 266\"/>
    </mc:Choice>
  </mc:AlternateContent>
  <bookViews>
    <workbookView xWindow="0" yWindow="0" windowWidth="13635" windowHeight="8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H17" i="1" l="1"/>
  <c r="H16" i="1"/>
  <c r="H15" i="1"/>
  <c r="H14" i="1"/>
  <c r="H13" i="1"/>
  <c r="H12" i="1"/>
  <c r="H8" i="1"/>
  <c r="H9" i="1"/>
  <c r="H10" i="1"/>
  <c r="H11" i="1"/>
  <c r="H7" i="1"/>
  <c r="H3" i="1"/>
  <c r="H4" i="1"/>
  <c r="H5" i="1"/>
  <c r="H6" i="1"/>
  <c r="H2" i="1"/>
  <c r="G12" i="1"/>
  <c r="G13" i="1"/>
  <c r="I13" i="1" s="1"/>
  <c r="J13" i="1" s="1"/>
  <c r="G14" i="1"/>
  <c r="G15" i="1"/>
  <c r="I15" i="1" s="1"/>
  <c r="J15" i="1" s="1"/>
  <c r="G16" i="1"/>
  <c r="G17" i="1"/>
  <c r="I17" i="1" s="1"/>
  <c r="J17" i="1" s="1"/>
  <c r="G11" i="1"/>
  <c r="I11" i="1" s="1"/>
  <c r="J11" i="1" s="1"/>
  <c r="G10" i="1"/>
  <c r="I10" i="1" s="1"/>
  <c r="J10" i="1" s="1"/>
  <c r="G9" i="1"/>
  <c r="G8" i="1"/>
  <c r="G7" i="1"/>
  <c r="I7" i="1" s="1"/>
  <c r="J7" i="1" s="1"/>
  <c r="G6" i="1"/>
  <c r="I6" i="1" s="1"/>
  <c r="J6" i="1" s="1"/>
  <c r="G5" i="1"/>
  <c r="G4" i="1"/>
  <c r="I4" i="1" s="1"/>
  <c r="J4" i="1" s="1"/>
  <c r="G3" i="1"/>
  <c r="G2" i="1"/>
  <c r="I2" i="1" s="1"/>
  <c r="J2" i="1" s="1"/>
  <c r="I3" i="1" l="1"/>
  <c r="J3" i="1" s="1"/>
  <c r="J19" i="1" s="1"/>
  <c r="I14" i="1"/>
  <c r="J14" i="1" s="1"/>
  <c r="I8" i="1"/>
  <c r="J8" i="1" s="1"/>
  <c r="I5" i="1"/>
  <c r="J5" i="1" s="1"/>
  <c r="I9" i="1"/>
  <c r="J9" i="1" s="1"/>
  <c r="I16" i="1"/>
  <c r="J16" i="1" s="1"/>
  <c r="I12" i="1"/>
  <c r="J12" i="1" s="1"/>
</calcChain>
</file>

<file path=xl/sharedStrings.xml><?xml version="1.0" encoding="utf-8"?>
<sst xmlns="http://schemas.openxmlformats.org/spreadsheetml/2006/main" count="9" uniqueCount="9">
  <si>
    <t>im</t>
  </si>
  <si>
    <t>in</t>
  </si>
  <si>
    <t>Rural (n)</t>
  </si>
  <si>
    <t>NonRural (m)</t>
  </si>
  <si>
    <t>x</t>
  </si>
  <si>
    <t>S_m(x)</t>
  </si>
  <si>
    <t>S_n(x)</t>
  </si>
  <si>
    <t>S_m(x) - S_n(x)</t>
  </si>
  <si>
    <t>|S_m(x) - S_n(x)|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</si>
</sst>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M18" sqref="M18"/>
    </sheetView>
  </sheetViews>
  <sheetFormatPr defaultRowHeight="17.25" customHeight="1" x14ac:dyDescent="0.25"/>
  <cols>
    <col min="1" max="4" width="11.5703125" style="2" customWidth="1"/>
    <col min="5" max="16384" width="9.140625" style="2"/>
  </cols>
  <sheetData>
    <row r="1" spans="1:10" ht="17.25" customHeight="1" x14ac:dyDescent="0.25">
      <c r="A1" s="1" t="s">
        <v>1</v>
      </c>
      <c r="B1" s="1" t="s">
        <v>0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7.25" customHeight="1" x14ac:dyDescent="0.25">
      <c r="A2" s="2">
        <v>1</v>
      </c>
      <c r="B2" s="3">
        <v>1</v>
      </c>
      <c r="C2" s="4">
        <v>-21.7</v>
      </c>
      <c r="D2" s="4">
        <v>-2.4</v>
      </c>
      <c r="F2" s="6">
        <v>-21.7</v>
      </c>
      <c r="G2" s="7">
        <f>1/9</f>
        <v>0.1111111111111111</v>
      </c>
      <c r="H2" s="7">
        <f>0/7</f>
        <v>0</v>
      </c>
      <c r="I2" s="7">
        <f>G2-H2</f>
        <v>0.1111111111111111</v>
      </c>
      <c r="J2" s="7">
        <f>ABS(I2)</f>
        <v>0.1111111111111111</v>
      </c>
    </row>
    <row r="3" spans="1:10" ht="17.25" customHeight="1" x14ac:dyDescent="0.25">
      <c r="A3" s="2">
        <v>2</v>
      </c>
      <c r="B3" s="3">
        <v>2</v>
      </c>
      <c r="C3" s="4">
        <v>-16.3</v>
      </c>
      <c r="D3" s="4">
        <v>9.9</v>
      </c>
      <c r="F3" s="6">
        <v>-16.3</v>
      </c>
      <c r="G3" s="7">
        <f>2/9</f>
        <v>0.22222222222222221</v>
      </c>
      <c r="H3" s="7">
        <f t="shared" ref="H3:H6" si="0">0/7</f>
        <v>0</v>
      </c>
      <c r="I3" s="7">
        <f t="shared" ref="I3:I17" si="1">G3-H3</f>
        <v>0.22222222222222221</v>
      </c>
      <c r="J3" s="7">
        <f t="shared" ref="J3:J17" si="2">ABS(I3)</f>
        <v>0.22222222222222221</v>
      </c>
    </row>
    <row r="4" spans="1:10" ht="17.25" customHeight="1" x14ac:dyDescent="0.25">
      <c r="A4" s="2">
        <v>3</v>
      </c>
      <c r="B4" s="3">
        <v>3</v>
      </c>
      <c r="C4" s="4">
        <v>-11.3</v>
      </c>
      <c r="D4" s="4">
        <v>14.2</v>
      </c>
      <c r="F4" s="6">
        <v>-11.3</v>
      </c>
      <c r="G4" s="7">
        <f>3/9</f>
        <v>0.33333333333333331</v>
      </c>
      <c r="H4" s="7">
        <f t="shared" si="0"/>
        <v>0</v>
      </c>
      <c r="I4" s="7">
        <f t="shared" si="1"/>
        <v>0.33333333333333331</v>
      </c>
      <c r="J4" s="7">
        <f t="shared" si="2"/>
        <v>0.33333333333333331</v>
      </c>
    </row>
    <row r="5" spans="1:10" ht="17.25" customHeight="1" x14ac:dyDescent="0.25">
      <c r="A5" s="2">
        <v>4</v>
      </c>
      <c r="B5" s="3">
        <v>4</v>
      </c>
      <c r="C5" s="4">
        <v>-10.4</v>
      </c>
      <c r="D5" s="4">
        <v>18.399999999999999</v>
      </c>
      <c r="F5" s="6">
        <v>-10.4</v>
      </c>
      <c r="G5" s="7">
        <f>4/9</f>
        <v>0.44444444444444442</v>
      </c>
      <c r="H5" s="7">
        <f t="shared" si="0"/>
        <v>0</v>
      </c>
      <c r="I5" s="7">
        <f t="shared" si="1"/>
        <v>0.44444444444444442</v>
      </c>
      <c r="J5" s="7">
        <f t="shared" si="2"/>
        <v>0.44444444444444442</v>
      </c>
    </row>
    <row r="6" spans="1:10" ht="17.25" customHeight="1" x14ac:dyDescent="0.25">
      <c r="A6" s="2">
        <v>5</v>
      </c>
      <c r="B6" s="3">
        <v>5</v>
      </c>
      <c r="C6" s="4">
        <v>-7</v>
      </c>
      <c r="D6" s="4">
        <v>20.100000000000001</v>
      </c>
      <c r="F6" s="6">
        <v>-7</v>
      </c>
      <c r="G6" s="7">
        <f>5/9</f>
        <v>0.55555555555555558</v>
      </c>
      <c r="H6" s="7">
        <f t="shared" si="0"/>
        <v>0</v>
      </c>
      <c r="I6" s="7">
        <f t="shared" si="1"/>
        <v>0.55555555555555558</v>
      </c>
      <c r="J6" s="7">
        <f t="shared" si="2"/>
        <v>0.55555555555555558</v>
      </c>
    </row>
    <row r="7" spans="1:10" ht="17.25" customHeight="1" x14ac:dyDescent="0.25">
      <c r="A7" s="2">
        <v>6</v>
      </c>
      <c r="B7" s="3">
        <v>6</v>
      </c>
      <c r="C7" s="4">
        <v>-2</v>
      </c>
      <c r="D7" s="4">
        <v>23.1</v>
      </c>
      <c r="F7" s="6">
        <v>-2.4</v>
      </c>
      <c r="G7" s="7">
        <f>5/9</f>
        <v>0.55555555555555558</v>
      </c>
      <c r="H7" s="7">
        <f>1/7</f>
        <v>0.14285714285714285</v>
      </c>
      <c r="I7" s="7">
        <f t="shared" si="1"/>
        <v>0.41269841269841273</v>
      </c>
      <c r="J7" s="7">
        <f t="shared" si="2"/>
        <v>0.41269841269841273</v>
      </c>
    </row>
    <row r="8" spans="1:10" ht="17.25" customHeight="1" x14ac:dyDescent="0.25">
      <c r="A8" s="2">
        <v>7</v>
      </c>
      <c r="B8" s="3">
        <v>7</v>
      </c>
      <c r="C8" s="4">
        <v>-1.9</v>
      </c>
      <c r="D8" s="4">
        <v>70.400000000000006</v>
      </c>
      <c r="F8" s="6">
        <v>-2</v>
      </c>
      <c r="G8" s="7">
        <f>6/9</f>
        <v>0.66666666666666663</v>
      </c>
      <c r="H8" s="7">
        <f t="shared" ref="H8:H11" si="3">1/7</f>
        <v>0.14285714285714285</v>
      </c>
      <c r="I8" s="7">
        <f t="shared" si="1"/>
        <v>0.52380952380952372</v>
      </c>
      <c r="J8" s="7">
        <f t="shared" si="2"/>
        <v>0.52380952380952372</v>
      </c>
    </row>
    <row r="9" spans="1:10" ht="17.25" customHeight="1" x14ac:dyDescent="0.25">
      <c r="A9" s="2">
        <v>8</v>
      </c>
      <c r="B9" s="4"/>
      <c r="C9" s="4">
        <v>1.1000000000000001</v>
      </c>
      <c r="D9" s="4"/>
      <c r="F9" s="6">
        <v>-1.9</v>
      </c>
      <c r="G9" s="7">
        <f>7/9</f>
        <v>0.77777777777777779</v>
      </c>
      <c r="H9" s="7">
        <f t="shared" si="3"/>
        <v>0.14285714285714285</v>
      </c>
      <c r="I9" s="7">
        <f t="shared" si="1"/>
        <v>0.63492063492063489</v>
      </c>
      <c r="J9" s="7">
        <f t="shared" si="2"/>
        <v>0.63492063492063489</v>
      </c>
    </row>
    <row r="10" spans="1:10" ht="17.25" customHeight="1" x14ac:dyDescent="0.25">
      <c r="A10" s="2">
        <v>9</v>
      </c>
      <c r="B10" s="4"/>
      <c r="C10" s="4">
        <v>6.2</v>
      </c>
      <c r="D10" s="4"/>
      <c r="F10" s="6">
        <v>1.1000000000000001</v>
      </c>
      <c r="G10" s="7">
        <f>8/9</f>
        <v>0.88888888888888884</v>
      </c>
      <c r="H10" s="7">
        <f t="shared" si="3"/>
        <v>0.14285714285714285</v>
      </c>
      <c r="I10" s="7">
        <f t="shared" si="1"/>
        <v>0.74603174603174605</v>
      </c>
      <c r="J10" s="7">
        <f t="shared" si="2"/>
        <v>0.74603174603174605</v>
      </c>
    </row>
    <row r="11" spans="1:10" ht="17.25" customHeight="1" x14ac:dyDescent="0.25">
      <c r="F11" s="6">
        <v>6.2</v>
      </c>
      <c r="G11" s="7">
        <f>9/9</f>
        <v>1</v>
      </c>
      <c r="H11" s="7">
        <f t="shared" si="3"/>
        <v>0.14285714285714285</v>
      </c>
      <c r="I11" s="7">
        <f t="shared" si="1"/>
        <v>0.85714285714285721</v>
      </c>
      <c r="J11" s="8">
        <f t="shared" si="2"/>
        <v>0.85714285714285721</v>
      </c>
    </row>
    <row r="12" spans="1:10" ht="17.25" customHeight="1" x14ac:dyDescent="0.25">
      <c r="F12" s="6">
        <v>9.9</v>
      </c>
      <c r="G12" s="7">
        <f t="shared" ref="G12:G17" si="4">9/9</f>
        <v>1</v>
      </c>
      <c r="H12" s="7">
        <f>2/7</f>
        <v>0.2857142857142857</v>
      </c>
      <c r="I12" s="7">
        <f t="shared" si="1"/>
        <v>0.7142857142857143</v>
      </c>
      <c r="J12" s="7">
        <f t="shared" si="2"/>
        <v>0.7142857142857143</v>
      </c>
    </row>
    <row r="13" spans="1:10" ht="17.25" customHeight="1" x14ac:dyDescent="0.25">
      <c r="F13" s="6">
        <v>14.2</v>
      </c>
      <c r="G13" s="7">
        <f t="shared" si="4"/>
        <v>1</v>
      </c>
      <c r="H13" s="7">
        <f>3/7</f>
        <v>0.42857142857142855</v>
      </c>
      <c r="I13" s="7">
        <f t="shared" si="1"/>
        <v>0.5714285714285714</v>
      </c>
      <c r="J13" s="7">
        <f t="shared" si="2"/>
        <v>0.5714285714285714</v>
      </c>
    </row>
    <row r="14" spans="1:10" ht="17.25" customHeight="1" x14ac:dyDescent="0.25">
      <c r="F14" s="6">
        <v>18.399999999999999</v>
      </c>
      <c r="G14" s="7">
        <f t="shared" si="4"/>
        <v>1</v>
      </c>
      <c r="H14" s="7">
        <f>4/7</f>
        <v>0.5714285714285714</v>
      </c>
      <c r="I14" s="7">
        <f t="shared" si="1"/>
        <v>0.4285714285714286</v>
      </c>
      <c r="J14" s="7">
        <f t="shared" si="2"/>
        <v>0.4285714285714286</v>
      </c>
    </row>
    <row r="15" spans="1:10" ht="17.25" customHeight="1" x14ac:dyDescent="0.25">
      <c r="F15" s="6">
        <v>20.100000000000001</v>
      </c>
      <c r="G15" s="7">
        <f t="shared" si="4"/>
        <v>1</v>
      </c>
      <c r="H15" s="7">
        <f>5/7</f>
        <v>0.7142857142857143</v>
      </c>
      <c r="I15" s="7">
        <f t="shared" si="1"/>
        <v>0.2857142857142857</v>
      </c>
      <c r="J15" s="7">
        <f t="shared" si="2"/>
        <v>0.2857142857142857</v>
      </c>
    </row>
    <row r="16" spans="1:10" ht="17.25" customHeight="1" x14ac:dyDescent="0.25">
      <c r="F16" s="6">
        <v>23.1</v>
      </c>
      <c r="G16" s="7">
        <f t="shared" si="4"/>
        <v>1</v>
      </c>
      <c r="H16" s="7">
        <f>6/7</f>
        <v>0.8571428571428571</v>
      </c>
      <c r="I16" s="7">
        <f t="shared" si="1"/>
        <v>0.1428571428571429</v>
      </c>
      <c r="J16" s="7">
        <f t="shared" si="2"/>
        <v>0.1428571428571429</v>
      </c>
    </row>
    <row r="17" spans="5:11" ht="17.25" customHeight="1" x14ac:dyDescent="0.25">
      <c r="F17" s="6">
        <v>70.400000000000006</v>
      </c>
      <c r="G17" s="7">
        <f t="shared" si="4"/>
        <v>1</v>
      </c>
      <c r="H17" s="7">
        <f>7/7</f>
        <v>1</v>
      </c>
      <c r="I17" s="7">
        <f t="shared" si="1"/>
        <v>0</v>
      </c>
      <c r="J17" s="7">
        <f t="shared" si="2"/>
        <v>0</v>
      </c>
    </row>
    <row r="18" spans="5:11" ht="17.25" customHeight="1" x14ac:dyDescent="0.25">
      <c r="J18" s="5"/>
      <c r="K18" s="5"/>
    </row>
    <row r="19" spans="5:11" ht="17.25" customHeight="1" x14ac:dyDescent="0.25">
      <c r="J19" s="5">
        <f>MAX(J2:J17)</f>
        <v>0.85714285714285721</v>
      </c>
    </row>
    <row r="20" spans="5:11" ht="17.25" customHeight="1" x14ac:dyDescent="0.25">
      <c r="J20" s="2">
        <f>7*9*J19</f>
        <v>54.000000000000007</v>
      </c>
    </row>
    <row r="23" spans="5:11" ht="17.25" customHeight="1" x14ac:dyDescent="0.25">
      <c r="E23" s="9"/>
      <c r="F23" s="9"/>
      <c r="G23" s="9"/>
    </row>
    <row r="24" spans="5:11" ht="17.25" customHeight="1" x14ac:dyDescent="0.25">
      <c r="E24" s="9"/>
      <c r="F24" s="9"/>
      <c r="G24" s="9"/>
    </row>
  </sheetData>
  <sortState ref="F2:F17">
    <sortCondition ref="F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acuyugan</dc:creator>
  <cp:lastModifiedBy>acuyugan</cp:lastModifiedBy>
  <dcterms:created xsi:type="dcterms:W3CDTF">2015-12-07T13:25:31Z</dcterms:created>
  <dcterms:modified xsi:type="dcterms:W3CDTF">2015-12-07T20:05:04Z</dcterms:modified>
</cp:coreProperties>
</file>