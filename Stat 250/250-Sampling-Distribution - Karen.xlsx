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6200" windowHeight="702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2" i="1" l="1"/>
  <c r="F9" i="1"/>
  <c r="H82" i="1"/>
  <c r="F7" i="1"/>
  <c r="F8" i="1"/>
  <c r="F6" i="1"/>
  <c r="F5" i="1"/>
  <c r="F4" i="1"/>
  <c r="F3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3" i="1"/>
  <c r="G12" i="1" l="1"/>
  <c r="I12" i="1" s="1"/>
  <c r="G14" i="1"/>
  <c r="G13" i="1"/>
  <c r="I13" i="1" s="1"/>
  <c r="A4" i="1"/>
  <c r="A5" i="1" s="1"/>
  <c r="A6" i="1" s="1"/>
  <c r="A7" i="1" s="1"/>
  <c r="A8" i="1" s="1"/>
  <c r="A9" i="1" s="1"/>
  <c r="F2" i="1" s="1"/>
  <c r="F78" i="1"/>
  <c r="G79" i="1"/>
  <c r="G78" i="1" l="1"/>
  <c r="F81" i="1"/>
  <c r="F13" i="1"/>
  <c r="F14" i="1"/>
  <c r="H14" i="1" s="1"/>
  <c r="F12" i="1"/>
  <c r="J12" i="1" s="1"/>
  <c r="F19" i="1"/>
  <c r="G66" i="1"/>
  <c r="G50" i="1"/>
  <c r="I50" i="1" s="1"/>
  <c r="G34" i="1"/>
  <c r="I34" i="1" s="1"/>
  <c r="G18" i="1"/>
  <c r="G75" i="1"/>
  <c r="F70" i="1"/>
  <c r="G64" i="1"/>
  <c r="G59" i="1"/>
  <c r="I59" i="1" s="1"/>
  <c r="F54" i="1"/>
  <c r="G48" i="1"/>
  <c r="G43" i="1"/>
  <c r="I43" i="1" s="1"/>
  <c r="F38" i="1"/>
  <c r="G32" i="1"/>
  <c r="I32" i="1" s="1"/>
  <c r="G17" i="1"/>
  <c r="I17" i="1" s="1"/>
  <c r="F45" i="1"/>
  <c r="G77" i="1"/>
  <c r="I77" i="1" s="1"/>
  <c r="F72" i="1"/>
  <c r="F67" i="1"/>
  <c r="G61" i="1"/>
  <c r="I61" i="1" s="1"/>
  <c r="F56" i="1"/>
  <c r="F51" i="1"/>
  <c r="G45" i="1"/>
  <c r="I45" i="1" s="1"/>
  <c r="F40" i="1"/>
  <c r="F35" i="1"/>
  <c r="G27" i="1"/>
  <c r="F69" i="1"/>
  <c r="F37" i="1"/>
  <c r="F79" i="1"/>
  <c r="J79" i="1" s="1"/>
  <c r="I64" i="1"/>
  <c r="I48" i="1"/>
  <c r="G62" i="1"/>
  <c r="G46" i="1"/>
  <c r="G31" i="1"/>
  <c r="I31" i="1" s="1"/>
  <c r="G28" i="1"/>
  <c r="F74" i="1"/>
  <c r="G68" i="1"/>
  <c r="G63" i="1"/>
  <c r="I63" i="1" s="1"/>
  <c r="F58" i="1"/>
  <c r="G52" i="1"/>
  <c r="I52" i="1" s="1"/>
  <c r="G47" i="1"/>
  <c r="I47" i="1" s="1"/>
  <c r="F42" i="1"/>
  <c r="G36" i="1"/>
  <c r="I36" i="1" s="1"/>
  <c r="F31" i="1"/>
  <c r="F73" i="1"/>
  <c r="F41" i="1"/>
  <c r="F76" i="1"/>
  <c r="F71" i="1"/>
  <c r="G65" i="1"/>
  <c r="I65" i="1" s="1"/>
  <c r="F60" i="1"/>
  <c r="F55" i="1"/>
  <c r="G49" i="1"/>
  <c r="I49" i="1" s="1"/>
  <c r="F44" i="1"/>
  <c r="F39" i="1"/>
  <c r="G33" i="1"/>
  <c r="I33" i="1" s="1"/>
  <c r="G25" i="1"/>
  <c r="I25" i="1" s="1"/>
  <c r="F65" i="1"/>
  <c r="F33" i="1"/>
  <c r="F15" i="1"/>
  <c r="F23" i="1"/>
  <c r="F28" i="1"/>
  <c r="G58" i="1"/>
  <c r="G42" i="1"/>
  <c r="G29" i="1"/>
  <c r="I29" i="1" s="1"/>
  <c r="F18" i="1"/>
  <c r="G72" i="1"/>
  <c r="G67" i="1"/>
  <c r="F62" i="1"/>
  <c r="H62" i="1" s="1"/>
  <c r="G56" i="1"/>
  <c r="I56" i="1" s="1"/>
  <c r="G51" i="1"/>
  <c r="F46" i="1"/>
  <c r="J46" i="1" s="1"/>
  <c r="G40" i="1"/>
  <c r="I40" i="1" s="1"/>
  <c r="G35" i="1"/>
  <c r="F29" i="1"/>
  <c r="F61" i="1"/>
  <c r="F30" i="1"/>
  <c r="F75" i="1"/>
  <c r="G69" i="1"/>
  <c r="I69" i="1" s="1"/>
  <c r="F64" i="1"/>
  <c r="F59" i="1"/>
  <c r="G53" i="1"/>
  <c r="F48" i="1"/>
  <c r="F43" i="1"/>
  <c r="G37" i="1"/>
  <c r="I37" i="1" s="1"/>
  <c r="F32" i="1"/>
  <c r="F17" i="1"/>
  <c r="F53" i="1"/>
  <c r="F27" i="1"/>
  <c r="I68" i="1"/>
  <c r="F20" i="1"/>
  <c r="G23" i="1"/>
  <c r="I23" i="1" s="1"/>
  <c r="G70" i="1"/>
  <c r="J70" i="1" s="1"/>
  <c r="G54" i="1"/>
  <c r="H54" i="1" s="1"/>
  <c r="G38" i="1"/>
  <c r="H38" i="1" s="1"/>
  <c r="G26" i="1"/>
  <c r="G76" i="1"/>
  <c r="G71" i="1"/>
  <c r="F66" i="1"/>
  <c r="H66" i="1" s="1"/>
  <c r="G60" i="1"/>
  <c r="I60" i="1" s="1"/>
  <c r="G55" i="1"/>
  <c r="F50" i="1"/>
  <c r="H50" i="1" s="1"/>
  <c r="G44" i="1"/>
  <c r="G39" i="1"/>
  <c r="I39" i="1" s="1"/>
  <c r="F34" i="1"/>
  <c r="F26" i="1"/>
  <c r="F57" i="1"/>
  <c r="F25" i="1"/>
  <c r="G73" i="1"/>
  <c r="F68" i="1"/>
  <c r="F63" i="1"/>
  <c r="G57" i="1"/>
  <c r="I57" i="1" s="1"/>
  <c r="F52" i="1"/>
  <c r="F47" i="1"/>
  <c r="G41" i="1"/>
  <c r="F36" i="1"/>
  <c r="G30" i="1"/>
  <c r="F77" i="1"/>
  <c r="F49" i="1"/>
  <c r="G74" i="1"/>
  <c r="J74" i="1" s="1"/>
  <c r="G24" i="1"/>
  <c r="F24" i="1"/>
  <c r="G20" i="1"/>
  <c r="H20" i="1" s="1"/>
  <c r="G19" i="1"/>
  <c r="I19" i="1" s="1"/>
  <c r="F22" i="1"/>
  <c r="G22" i="1"/>
  <c r="I22" i="1" s="1"/>
  <c r="G21" i="1"/>
  <c r="F21" i="1"/>
  <c r="F80" i="1"/>
  <c r="G81" i="1"/>
  <c r="H81" i="1" s="1"/>
  <c r="G15" i="1"/>
  <c r="I15" i="1" s="1"/>
  <c r="G80" i="1"/>
  <c r="I14" i="1"/>
  <c r="J13" i="1"/>
  <c r="I79" i="1"/>
  <c r="J14" i="1"/>
  <c r="J78" i="1"/>
  <c r="H78" i="1"/>
  <c r="I78" i="1"/>
  <c r="H13" i="1"/>
  <c r="J58" i="1" l="1"/>
  <c r="H34" i="1"/>
  <c r="H79" i="1"/>
  <c r="H31" i="1"/>
  <c r="J42" i="1"/>
  <c r="J19" i="1"/>
  <c r="H12" i="1"/>
  <c r="H27" i="1"/>
  <c r="J28" i="1"/>
  <c r="J26" i="1"/>
  <c r="J23" i="1"/>
  <c r="H23" i="1"/>
  <c r="J41" i="1"/>
  <c r="H41" i="1"/>
  <c r="J44" i="1"/>
  <c r="H44" i="1"/>
  <c r="J67" i="1"/>
  <c r="H67" i="1"/>
  <c r="J33" i="1"/>
  <c r="H33" i="1"/>
  <c r="J36" i="1"/>
  <c r="H36" i="1"/>
  <c r="H58" i="1"/>
  <c r="H28" i="1"/>
  <c r="I28" i="1"/>
  <c r="I27" i="1"/>
  <c r="J27" i="1"/>
  <c r="J32" i="1"/>
  <c r="H32" i="1"/>
  <c r="J54" i="1"/>
  <c r="J75" i="1"/>
  <c r="H75" i="1"/>
  <c r="J66" i="1"/>
  <c r="H19" i="1"/>
  <c r="J71" i="1"/>
  <c r="H71" i="1"/>
  <c r="J69" i="1"/>
  <c r="H69" i="1"/>
  <c r="J51" i="1"/>
  <c r="H51" i="1"/>
  <c r="J72" i="1"/>
  <c r="H72" i="1"/>
  <c r="H42" i="1"/>
  <c r="J63" i="1"/>
  <c r="H63" i="1"/>
  <c r="J31" i="1"/>
  <c r="J77" i="1"/>
  <c r="H77" i="1"/>
  <c r="J38" i="1"/>
  <c r="J59" i="1"/>
  <c r="H59" i="1"/>
  <c r="I18" i="1"/>
  <c r="J18" i="1"/>
  <c r="H18" i="1"/>
  <c r="I38" i="1"/>
  <c r="I54" i="1"/>
  <c r="I70" i="1"/>
  <c r="I66" i="1"/>
  <c r="I30" i="1"/>
  <c r="H30" i="1"/>
  <c r="J73" i="1"/>
  <c r="H73" i="1"/>
  <c r="J55" i="1"/>
  <c r="H55" i="1"/>
  <c r="J76" i="1"/>
  <c r="H76" i="1"/>
  <c r="I44" i="1"/>
  <c r="I76" i="1"/>
  <c r="J53" i="1"/>
  <c r="H53" i="1"/>
  <c r="J35" i="1"/>
  <c r="H35" i="1"/>
  <c r="J56" i="1"/>
  <c r="H56" i="1"/>
  <c r="I73" i="1"/>
  <c r="J65" i="1"/>
  <c r="H65" i="1"/>
  <c r="J47" i="1"/>
  <c r="H47" i="1"/>
  <c r="J68" i="1"/>
  <c r="H68" i="1"/>
  <c r="H46" i="1"/>
  <c r="I72" i="1"/>
  <c r="J61" i="1"/>
  <c r="H61" i="1"/>
  <c r="J43" i="1"/>
  <c r="H43" i="1"/>
  <c r="J64" i="1"/>
  <c r="H64" i="1"/>
  <c r="J34" i="1"/>
  <c r="I41" i="1"/>
  <c r="I55" i="1"/>
  <c r="I71" i="1"/>
  <c r="I35" i="1"/>
  <c r="I51" i="1"/>
  <c r="I67" i="1"/>
  <c r="J57" i="1"/>
  <c r="H57" i="1"/>
  <c r="J39" i="1"/>
  <c r="H39" i="1"/>
  <c r="J60" i="1"/>
  <c r="H60" i="1"/>
  <c r="I26" i="1"/>
  <c r="H26" i="1"/>
  <c r="J37" i="1"/>
  <c r="H37" i="1"/>
  <c r="J30" i="1"/>
  <c r="J40" i="1"/>
  <c r="H40" i="1"/>
  <c r="J29" i="1"/>
  <c r="H29" i="1"/>
  <c r="F16" i="1"/>
  <c r="G16" i="1"/>
  <c r="J25" i="1"/>
  <c r="H25" i="1"/>
  <c r="J49" i="1"/>
  <c r="H49" i="1"/>
  <c r="J52" i="1"/>
  <c r="H52" i="1"/>
  <c r="H74" i="1"/>
  <c r="J62" i="1"/>
  <c r="J45" i="1"/>
  <c r="H45" i="1"/>
  <c r="J17" i="1"/>
  <c r="H17" i="1"/>
  <c r="J48" i="1"/>
  <c r="H48" i="1"/>
  <c r="H70" i="1"/>
  <c r="J50" i="1"/>
  <c r="I53" i="1"/>
  <c r="I42" i="1"/>
  <c r="I58" i="1"/>
  <c r="I74" i="1"/>
  <c r="I46" i="1"/>
  <c r="I62" i="1"/>
  <c r="I75" i="1"/>
  <c r="J24" i="1"/>
  <c r="H24" i="1"/>
  <c r="I24" i="1"/>
  <c r="J22" i="1"/>
  <c r="I20" i="1"/>
  <c r="J20" i="1"/>
  <c r="H22" i="1"/>
  <c r="J21" i="1"/>
  <c r="I21" i="1"/>
  <c r="H21" i="1"/>
  <c r="H15" i="1"/>
  <c r="J15" i="1"/>
  <c r="I81" i="1"/>
  <c r="J81" i="1"/>
  <c r="J80" i="1"/>
  <c r="I80" i="1"/>
  <c r="H80" i="1"/>
  <c r="J16" i="1" l="1"/>
  <c r="H16" i="1"/>
  <c r="I16" i="1"/>
</calcChain>
</file>

<file path=xl/sharedStrings.xml><?xml version="1.0" encoding="utf-8"?>
<sst xmlns="http://schemas.openxmlformats.org/spreadsheetml/2006/main" count="22" uniqueCount="21">
  <si>
    <t>Unit Number</t>
  </si>
  <si>
    <t>x</t>
  </si>
  <si>
    <t>y</t>
  </si>
  <si>
    <t>Sample Number</t>
  </si>
  <si>
    <t>xbar S</t>
  </si>
  <si>
    <t>S1</t>
  </si>
  <si>
    <t>S2</t>
  </si>
  <si>
    <t>S3</t>
  </si>
  <si>
    <t>S4</t>
  </si>
  <si>
    <t>ybar S</t>
  </si>
  <si>
    <t>B hat</t>
  </si>
  <si>
    <t>t hat SRS</t>
  </si>
  <si>
    <t>t hat yr</t>
  </si>
  <si>
    <t>tx</t>
  </si>
  <si>
    <t>ty</t>
  </si>
  <si>
    <t>Sx</t>
  </si>
  <si>
    <t>Sy</t>
  </si>
  <si>
    <t>R</t>
  </si>
  <si>
    <t>B</t>
  </si>
  <si>
    <t>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</si>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</sst>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#,##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workbookViewId="0">
      <pane ySplit="11" topLeftCell="A80" activePane="bottomLeft" state="frozen"/>
      <selection pane="bottomLeft" activeCell="F9" sqref="F9"/>
    </sheetView>
  </sheetViews>
  <sheetFormatPr defaultRowHeight="14.25" x14ac:dyDescent="0.45"/>
  <cols>
    <col min="1" max="1" width="13.3984375" style="1" bestFit="1" customWidth="1"/>
    <col min="2" max="3" width="9.06640625" style="1"/>
  </cols>
  <sheetData>
    <row r="1" spans="1:10" s="3" customFormat="1" x14ac:dyDescent="0.45">
      <c r="A1" s="2" t="s">
        <v>0</v>
      </c>
      <c r="B1" s="2" t="s">
        <v>1</v>
      </c>
      <c r="C1" s="2" t="s">
        <v>2</v>
      </c>
    </row>
    <row r="2" spans="1:10" x14ac:dyDescent="0.45">
      <c r="A2" s="1">
        <v>1</v>
      </c>
      <c r="B2" s="1">
        <v>4</v>
      </c>
      <c r="C2" s="1">
        <v>1</v>
      </c>
      <c r="E2" s="2" t="s">
        <v>19</v>
      </c>
      <c r="F2" s="1">
        <f>A9</f>
        <v>8</v>
      </c>
      <c r="I2" s="4"/>
    </row>
    <row r="3" spans="1:10" x14ac:dyDescent="0.45">
      <c r="A3" s="1">
        <f>A2+1</f>
        <v>2</v>
      </c>
      <c r="B3" s="1">
        <v>5</v>
      </c>
      <c r="C3" s="1">
        <v>2</v>
      </c>
      <c r="E3" s="2" t="s">
        <v>13</v>
      </c>
      <c r="F3" s="1">
        <f>SUM(B2:B9)</f>
        <v>47</v>
      </c>
      <c r="I3" s="3"/>
    </row>
    <row r="4" spans="1:10" x14ac:dyDescent="0.45">
      <c r="A4" s="1">
        <f t="shared" ref="A4:A9" si="0">A3+1</f>
        <v>3</v>
      </c>
      <c r="B4" s="1">
        <v>5</v>
      </c>
      <c r="C4" s="1">
        <v>4</v>
      </c>
      <c r="E4" s="2" t="s">
        <v>14</v>
      </c>
      <c r="F4" s="1">
        <f>SUM(C2:C9)</f>
        <v>40</v>
      </c>
    </row>
    <row r="5" spans="1:10" x14ac:dyDescent="0.45">
      <c r="A5" s="1">
        <f t="shared" si="0"/>
        <v>4</v>
      </c>
      <c r="B5" s="1">
        <v>6</v>
      </c>
      <c r="C5" s="1">
        <v>4</v>
      </c>
      <c r="E5" s="2" t="s">
        <v>15</v>
      </c>
      <c r="F5" s="6">
        <f>_xlfn.STDEV.S(B2:B9)</f>
        <v>1.3562026818605375</v>
      </c>
    </row>
    <row r="6" spans="1:10" x14ac:dyDescent="0.45">
      <c r="A6" s="1">
        <f t="shared" si="0"/>
        <v>5</v>
      </c>
      <c r="B6" s="1">
        <v>8</v>
      </c>
      <c r="C6" s="1">
        <v>7</v>
      </c>
      <c r="E6" s="2" t="s">
        <v>16</v>
      </c>
      <c r="F6" s="6">
        <f>_xlfn.STDEV.S(C2:C9)</f>
        <v>2.6186146828319083</v>
      </c>
    </row>
    <row r="7" spans="1:10" x14ac:dyDescent="0.45">
      <c r="A7" s="1">
        <f t="shared" si="0"/>
        <v>6</v>
      </c>
      <c r="B7" s="1">
        <v>7</v>
      </c>
      <c r="C7" s="1">
        <v>7</v>
      </c>
      <c r="E7" s="2" t="s">
        <v>17</v>
      </c>
      <c r="F7" s="6">
        <f>CORREL(B2:B9,C2:C9)</f>
        <v>0.68384028870276037</v>
      </c>
    </row>
    <row r="8" spans="1:10" x14ac:dyDescent="0.45">
      <c r="A8" s="1">
        <f t="shared" si="0"/>
        <v>7</v>
      </c>
      <c r="B8" s="1">
        <v>7</v>
      </c>
      <c r="C8" s="1">
        <v>7</v>
      </c>
      <c r="E8" s="2" t="s">
        <v>18</v>
      </c>
      <c r="F8" s="6">
        <f>AVERAGE(C2:C9)/AVERAGE(B2:B9)</f>
        <v>0.85106382978723405</v>
      </c>
    </row>
    <row r="9" spans="1:10" x14ac:dyDescent="0.45">
      <c r="A9" s="1">
        <f t="shared" si="0"/>
        <v>8</v>
      </c>
      <c r="B9" s="1">
        <v>5</v>
      </c>
      <c r="C9" s="1">
        <v>8</v>
      </c>
      <c r="E9" s="2" t="s">
        <v>12</v>
      </c>
      <c r="F9">
        <f>H82*F3</f>
        <v>39.850628429989008</v>
      </c>
    </row>
    <row r="11" spans="1:10" s="2" customFormat="1" x14ac:dyDescent="0.45">
      <c r="A11" s="2" t="s">
        <v>3</v>
      </c>
      <c r="B11" s="2" t="s">
        <v>5</v>
      </c>
      <c r="C11" s="2" t="s">
        <v>6</v>
      </c>
      <c r="D11" s="2" t="s">
        <v>7</v>
      </c>
      <c r="E11" s="2" t="s">
        <v>8</v>
      </c>
      <c r="F11" s="2" t="s">
        <v>4</v>
      </c>
      <c r="G11" s="2" t="s">
        <v>9</v>
      </c>
      <c r="H11" s="2" t="s">
        <v>10</v>
      </c>
      <c r="I11" s="2" t="s">
        <v>11</v>
      </c>
      <c r="J11" s="2" t="s">
        <v>12</v>
      </c>
    </row>
    <row r="12" spans="1:10" s="1" customFormat="1" x14ac:dyDescent="0.45">
      <c r="A12" s="1">
        <v>1</v>
      </c>
      <c r="B12" s="1">
        <v>1</v>
      </c>
      <c r="C12" s="1">
        <v>2</v>
      </c>
      <c r="D12" s="1">
        <v>3</v>
      </c>
      <c r="E12" s="1">
        <v>4</v>
      </c>
      <c r="F12" s="5">
        <f>AVERAGE(VLOOKUP(B12,$A$2:$B$9,2,FALSE),VLOOKUP(C12,$A$2:$B$9,2,FALSE),VLOOKUP(D12,$A$2:$B$9,2,FALSE),VLOOKUP(E12,$A$2:$B$9,2,FALSE))</f>
        <v>5</v>
      </c>
      <c r="G12" s="5">
        <f>AVERAGE(VLOOKUP(B12,$A$2:$C$9,3,FALSE),VLOOKUP(C12,$A$2:$C$9,3,FALSE),VLOOKUP(D12,$A$2:$C$9,3,FALSE),VLOOKUP(E12,$A$2:$C$9,3,FALSE))</f>
        <v>2.75</v>
      </c>
      <c r="H12" s="5">
        <f>G12/F12</f>
        <v>0.55000000000000004</v>
      </c>
      <c r="I12" s="5">
        <f>$F$2*G12</f>
        <v>22</v>
      </c>
      <c r="J12" s="5">
        <f>G12*($F$3/F12)</f>
        <v>25.85</v>
      </c>
    </row>
    <row r="13" spans="1:10" s="1" customFormat="1" x14ac:dyDescent="0.45">
      <c r="A13" s="1">
        <f>A12+1</f>
        <v>2</v>
      </c>
      <c r="B13" s="1">
        <v>1</v>
      </c>
      <c r="C13" s="1">
        <v>2</v>
      </c>
      <c r="D13" s="1">
        <v>3</v>
      </c>
      <c r="E13" s="1">
        <v>5</v>
      </c>
      <c r="F13" s="5">
        <f>AVERAGE(VLOOKUP(B13,$A$2:$B$9,2,FALSE),VLOOKUP(C13,$A$2:$B$9,2,FALSE),VLOOKUP(D13,$A$2:$B$9,2,FALSE),VLOOKUP(E13,$A$2:$B$9,2,FALSE))</f>
        <v>5.5</v>
      </c>
      <c r="G13" s="5">
        <f>AVERAGE(VLOOKUP(B13,$A$2:$C$9,3,FALSE),VLOOKUP(C13,$A$2:$C$9,3,FALSE),VLOOKUP(D13,$A$2:$C$9,3,FALSE),VLOOKUP(E13,$A$2:$C$9,3,FALSE))</f>
        <v>3.5</v>
      </c>
      <c r="H13" s="5">
        <f>G13/F13</f>
        <v>0.63636363636363635</v>
      </c>
      <c r="I13" s="5">
        <f>$F$2*G13</f>
        <v>28</v>
      </c>
      <c r="J13" s="5">
        <f>G13*($F$3/F13)</f>
        <v>29.909090909090907</v>
      </c>
    </row>
    <row r="14" spans="1:10" s="1" customFormat="1" x14ac:dyDescent="0.45">
      <c r="A14" s="1">
        <f t="shared" ref="A14:A77" si="1">A13+1</f>
        <v>3</v>
      </c>
      <c r="B14" s="1">
        <v>1</v>
      </c>
      <c r="C14" s="1">
        <v>2</v>
      </c>
      <c r="D14" s="1">
        <v>3</v>
      </c>
      <c r="E14" s="1">
        <v>6</v>
      </c>
      <c r="F14" s="5">
        <f>AVERAGE(VLOOKUP(B14,$A$2:$B$9,2,FALSE),VLOOKUP(C14,$A$2:$B$9,2,FALSE),VLOOKUP(D14,$A$2:$B$9,2,FALSE),VLOOKUP(E14,$A$2:$B$9,2,FALSE))</f>
        <v>5.25</v>
      </c>
      <c r="G14" s="5">
        <f>AVERAGE(VLOOKUP(B14,$A$2:$C$9,3,FALSE),VLOOKUP(C14,$A$2:$C$9,3,FALSE),VLOOKUP(D14,$A$2:$C$9,3,FALSE),VLOOKUP(E14,$A$2:$C$9,3,FALSE))</f>
        <v>3.5</v>
      </c>
      <c r="H14" s="5">
        <f>G14/F14</f>
        <v>0.66666666666666663</v>
      </c>
      <c r="I14" s="5">
        <f>$F$2*G14</f>
        <v>28</v>
      </c>
      <c r="J14" s="5">
        <f>G14*($F$3/F14)</f>
        <v>31.333333333333336</v>
      </c>
    </row>
    <row r="15" spans="1:10" s="1" customFormat="1" x14ac:dyDescent="0.45">
      <c r="A15" s="1">
        <f t="shared" si="1"/>
        <v>4</v>
      </c>
      <c r="B15" s="1">
        <v>1</v>
      </c>
      <c r="C15" s="1">
        <v>2</v>
      </c>
      <c r="D15" s="1">
        <v>3</v>
      </c>
      <c r="E15" s="1">
        <v>7</v>
      </c>
      <c r="F15" s="5">
        <f>AVERAGE(VLOOKUP(B15,$A$2:$B$9,2,FALSE),VLOOKUP(C15,$A$2:$B$9,2,FALSE),VLOOKUP(D15,$A$2:$B$9,2,FALSE),VLOOKUP(E15,$A$2:$B$9,2,FALSE))</f>
        <v>5.25</v>
      </c>
      <c r="G15" s="5">
        <f>AVERAGE(VLOOKUP(B15,$A$2:$C$9,3,FALSE),VLOOKUP(C15,$A$2:$C$9,3,FALSE),VLOOKUP(D15,$A$2:$C$9,3,FALSE),VLOOKUP(E15,$A$2:$C$9,3,FALSE))</f>
        <v>3.5</v>
      </c>
      <c r="H15" s="5">
        <f>G15/F15</f>
        <v>0.66666666666666663</v>
      </c>
      <c r="I15" s="5">
        <f>$F$2*G15</f>
        <v>28</v>
      </c>
      <c r="J15" s="5">
        <f>G15*($F$3/F15)</f>
        <v>31.333333333333336</v>
      </c>
    </row>
    <row r="16" spans="1:10" s="1" customFormat="1" x14ac:dyDescent="0.45">
      <c r="A16" s="1">
        <f t="shared" si="1"/>
        <v>5</v>
      </c>
      <c r="B16" s="1">
        <v>1</v>
      </c>
      <c r="C16" s="1">
        <v>2</v>
      </c>
      <c r="D16" s="1">
        <v>3</v>
      </c>
      <c r="E16" s="1">
        <v>8</v>
      </c>
      <c r="F16" s="5">
        <f>AVERAGE(VLOOKUP(B16,$A$2:$B$9,2,FALSE),VLOOKUP(C16,$A$2:$B$9,2,FALSE),VLOOKUP(D16,$A$2:$B$9,2,FALSE),VLOOKUP(E16,$A$2:$B$9,2,FALSE))</f>
        <v>4.75</v>
      </c>
      <c r="G16" s="5">
        <f>AVERAGE(VLOOKUP(B16,$A$2:$C$9,3,FALSE),VLOOKUP(C16,$A$2:$C$9,3,FALSE),VLOOKUP(D16,$A$2:$C$9,3,FALSE),VLOOKUP(E16,$A$2:$C$9,3,FALSE))</f>
        <v>3.75</v>
      </c>
      <c r="H16" s="5">
        <f>G16/F16</f>
        <v>0.78947368421052633</v>
      </c>
      <c r="I16" s="5">
        <f>$F$2*G16</f>
        <v>30</v>
      </c>
      <c r="J16" s="5">
        <f>G16*($F$3/F16)</f>
        <v>37.10526315789474</v>
      </c>
    </row>
    <row r="17" spans="1:10" s="1" customFormat="1" x14ac:dyDescent="0.45">
      <c r="A17" s="1">
        <f t="shared" si="1"/>
        <v>6</v>
      </c>
      <c r="B17" s="1">
        <v>1</v>
      </c>
      <c r="C17" s="1">
        <v>2</v>
      </c>
      <c r="D17" s="1">
        <v>4</v>
      </c>
      <c r="E17" s="1">
        <v>5</v>
      </c>
      <c r="F17" s="5">
        <f t="shared" ref="F17:F77" si="2">AVERAGE(VLOOKUP(B17,$A$2:$B$9,2,FALSE),VLOOKUP(C17,$A$2:$B$9,2,FALSE),VLOOKUP(D17,$A$2:$B$9,2,FALSE),VLOOKUP(E17,$A$2:$B$9,2,FALSE))</f>
        <v>5.75</v>
      </c>
      <c r="G17" s="5">
        <f t="shared" ref="G17:G77" si="3">AVERAGE(VLOOKUP(B17,$A$2:$C$9,3,FALSE),VLOOKUP(C17,$A$2:$C$9,3,FALSE),VLOOKUP(D17,$A$2:$C$9,3,FALSE),VLOOKUP(E17,$A$2:$C$9,3,FALSE))</f>
        <v>3.5</v>
      </c>
      <c r="H17" s="5">
        <f t="shared" ref="H17:H77" si="4">G17/F17</f>
        <v>0.60869565217391308</v>
      </c>
      <c r="I17" s="5">
        <f t="shared" ref="I17:I77" si="5">$F$2*G17</f>
        <v>28</v>
      </c>
      <c r="J17" s="5">
        <f t="shared" ref="J17:J77" si="6">G17*($F$3/F17)</f>
        <v>28.608695652173914</v>
      </c>
    </row>
    <row r="18" spans="1:10" s="1" customFormat="1" x14ac:dyDescent="0.45">
      <c r="A18" s="1">
        <f t="shared" si="1"/>
        <v>7</v>
      </c>
      <c r="B18" s="1">
        <v>1</v>
      </c>
      <c r="C18" s="1">
        <v>2</v>
      </c>
      <c r="D18" s="1">
        <v>4</v>
      </c>
      <c r="E18" s="1">
        <v>6</v>
      </c>
      <c r="F18" s="5">
        <f t="shared" si="2"/>
        <v>5.5</v>
      </c>
      <c r="G18" s="5">
        <f t="shared" si="3"/>
        <v>3.5</v>
      </c>
      <c r="H18" s="5">
        <f t="shared" si="4"/>
        <v>0.63636363636363635</v>
      </c>
      <c r="I18" s="5">
        <f t="shared" si="5"/>
        <v>28</v>
      </c>
      <c r="J18" s="5">
        <f t="shared" si="6"/>
        <v>29.909090909090907</v>
      </c>
    </row>
    <row r="19" spans="1:10" s="1" customFormat="1" x14ac:dyDescent="0.45">
      <c r="A19" s="1">
        <f t="shared" si="1"/>
        <v>8</v>
      </c>
      <c r="B19" s="1">
        <v>1</v>
      </c>
      <c r="C19" s="1">
        <v>2</v>
      </c>
      <c r="D19" s="1">
        <v>4</v>
      </c>
      <c r="E19" s="1">
        <v>7</v>
      </c>
      <c r="F19" s="5">
        <f t="shared" si="2"/>
        <v>5.5</v>
      </c>
      <c r="G19" s="5">
        <f t="shared" si="3"/>
        <v>3.5</v>
      </c>
      <c r="H19" s="5">
        <f t="shared" si="4"/>
        <v>0.63636363636363635</v>
      </c>
      <c r="I19" s="5">
        <f t="shared" si="5"/>
        <v>28</v>
      </c>
      <c r="J19" s="5">
        <f t="shared" si="6"/>
        <v>29.909090909090907</v>
      </c>
    </row>
    <row r="20" spans="1:10" x14ac:dyDescent="0.45">
      <c r="A20" s="1">
        <f t="shared" si="1"/>
        <v>9</v>
      </c>
      <c r="B20" s="1">
        <v>1</v>
      </c>
      <c r="C20" s="1">
        <v>2</v>
      </c>
      <c r="D20" s="1">
        <v>4</v>
      </c>
      <c r="E20" s="1">
        <v>8</v>
      </c>
      <c r="F20" s="5">
        <f t="shared" si="2"/>
        <v>5</v>
      </c>
      <c r="G20" s="5">
        <f t="shared" si="3"/>
        <v>3.75</v>
      </c>
      <c r="H20" s="5">
        <f t="shared" si="4"/>
        <v>0.75</v>
      </c>
      <c r="I20" s="5">
        <f t="shared" si="5"/>
        <v>30</v>
      </c>
      <c r="J20" s="5">
        <f t="shared" si="6"/>
        <v>35.25</v>
      </c>
    </row>
    <row r="21" spans="1:10" x14ac:dyDescent="0.45">
      <c r="A21" s="1">
        <f t="shared" si="1"/>
        <v>10</v>
      </c>
      <c r="B21" s="1">
        <v>1</v>
      </c>
      <c r="C21" s="1">
        <v>2</v>
      </c>
      <c r="D21" s="1">
        <v>5</v>
      </c>
      <c r="E21" s="1">
        <v>6</v>
      </c>
      <c r="F21" s="5">
        <f t="shared" si="2"/>
        <v>6</v>
      </c>
      <c r="G21" s="5">
        <f t="shared" si="3"/>
        <v>4.25</v>
      </c>
      <c r="H21" s="5">
        <f t="shared" si="4"/>
        <v>0.70833333333333337</v>
      </c>
      <c r="I21" s="5">
        <f t="shared" si="5"/>
        <v>34</v>
      </c>
      <c r="J21" s="5">
        <f t="shared" si="6"/>
        <v>33.291666666666664</v>
      </c>
    </row>
    <row r="22" spans="1:10" x14ac:dyDescent="0.45">
      <c r="A22" s="1">
        <f t="shared" si="1"/>
        <v>11</v>
      </c>
      <c r="B22" s="1">
        <v>1</v>
      </c>
      <c r="C22" s="1">
        <v>2</v>
      </c>
      <c r="D22" s="1">
        <v>5</v>
      </c>
      <c r="E22" s="1">
        <v>7</v>
      </c>
      <c r="F22" s="5">
        <f t="shared" si="2"/>
        <v>6</v>
      </c>
      <c r="G22" s="5">
        <f t="shared" si="3"/>
        <v>4.25</v>
      </c>
      <c r="H22" s="5">
        <f t="shared" si="4"/>
        <v>0.70833333333333337</v>
      </c>
      <c r="I22" s="5">
        <f t="shared" si="5"/>
        <v>34</v>
      </c>
      <c r="J22" s="5">
        <f t="shared" si="6"/>
        <v>33.291666666666664</v>
      </c>
    </row>
    <row r="23" spans="1:10" x14ac:dyDescent="0.45">
      <c r="A23" s="1">
        <f t="shared" si="1"/>
        <v>12</v>
      </c>
      <c r="B23" s="1">
        <v>1</v>
      </c>
      <c r="C23" s="1">
        <v>2</v>
      </c>
      <c r="D23" s="1">
        <v>5</v>
      </c>
      <c r="E23" s="1">
        <v>8</v>
      </c>
      <c r="F23" s="5">
        <f t="shared" si="2"/>
        <v>5.5</v>
      </c>
      <c r="G23" s="5">
        <f t="shared" si="3"/>
        <v>4.5</v>
      </c>
      <c r="H23" s="5">
        <f t="shared" si="4"/>
        <v>0.81818181818181823</v>
      </c>
      <c r="I23" s="5">
        <f t="shared" si="5"/>
        <v>36</v>
      </c>
      <c r="J23" s="5">
        <f t="shared" si="6"/>
        <v>38.454545454545453</v>
      </c>
    </row>
    <row r="24" spans="1:10" x14ac:dyDescent="0.45">
      <c r="A24" s="1">
        <f t="shared" si="1"/>
        <v>13</v>
      </c>
      <c r="B24" s="1">
        <v>1</v>
      </c>
      <c r="C24" s="1">
        <v>2</v>
      </c>
      <c r="D24" s="1">
        <v>6</v>
      </c>
      <c r="E24" s="1">
        <v>7</v>
      </c>
      <c r="F24" s="5">
        <f t="shared" si="2"/>
        <v>5.75</v>
      </c>
      <c r="G24" s="5">
        <f t="shared" si="3"/>
        <v>4.25</v>
      </c>
      <c r="H24" s="5">
        <f t="shared" si="4"/>
        <v>0.73913043478260865</v>
      </c>
      <c r="I24" s="5">
        <f t="shared" si="5"/>
        <v>34</v>
      </c>
      <c r="J24" s="5">
        <f t="shared" si="6"/>
        <v>34.739130434782609</v>
      </c>
    </row>
    <row r="25" spans="1:10" x14ac:dyDescent="0.45">
      <c r="A25" s="1">
        <f t="shared" si="1"/>
        <v>14</v>
      </c>
      <c r="B25" s="1">
        <v>1</v>
      </c>
      <c r="C25" s="1">
        <v>2</v>
      </c>
      <c r="D25" s="1">
        <v>6</v>
      </c>
      <c r="E25" s="1">
        <v>8</v>
      </c>
      <c r="F25" s="5">
        <f t="shared" si="2"/>
        <v>5.25</v>
      </c>
      <c r="G25" s="5">
        <f t="shared" si="3"/>
        <v>4.5</v>
      </c>
      <c r="H25" s="5">
        <f t="shared" si="4"/>
        <v>0.8571428571428571</v>
      </c>
      <c r="I25" s="5">
        <f t="shared" si="5"/>
        <v>36</v>
      </c>
      <c r="J25" s="5">
        <f t="shared" si="6"/>
        <v>40.285714285714285</v>
      </c>
    </row>
    <row r="26" spans="1:10" x14ac:dyDescent="0.45">
      <c r="A26" s="1">
        <f t="shared" si="1"/>
        <v>15</v>
      </c>
      <c r="B26" s="1">
        <v>1</v>
      </c>
      <c r="C26" s="1">
        <v>2</v>
      </c>
      <c r="D26" s="1">
        <v>7</v>
      </c>
      <c r="E26" s="1">
        <v>8</v>
      </c>
      <c r="F26" s="5">
        <f t="shared" si="2"/>
        <v>5.25</v>
      </c>
      <c r="G26" s="5">
        <f t="shared" si="3"/>
        <v>4.5</v>
      </c>
      <c r="H26" s="5">
        <f t="shared" si="4"/>
        <v>0.8571428571428571</v>
      </c>
      <c r="I26" s="5">
        <f t="shared" si="5"/>
        <v>36</v>
      </c>
      <c r="J26" s="5">
        <f t="shared" si="6"/>
        <v>40.285714285714285</v>
      </c>
    </row>
    <row r="27" spans="1:10" x14ac:dyDescent="0.45">
      <c r="A27" s="1">
        <f t="shared" si="1"/>
        <v>16</v>
      </c>
      <c r="B27" s="1">
        <v>1</v>
      </c>
      <c r="C27" s="1">
        <v>3</v>
      </c>
      <c r="D27" s="1">
        <v>4</v>
      </c>
      <c r="E27" s="1">
        <v>5</v>
      </c>
      <c r="F27" s="5">
        <f t="shared" si="2"/>
        <v>5.75</v>
      </c>
      <c r="G27" s="5">
        <f t="shared" si="3"/>
        <v>4</v>
      </c>
      <c r="H27" s="5">
        <f t="shared" si="4"/>
        <v>0.69565217391304346</v>
      </c>
      <c r="I27" s="5">
        <f t="shared" si="5"/>
        <v>32</v>
      </c>
      <c r="J27" s="5">
        <f t="shared" si="6"/>
        <v>32.695652173913047</v>
      </c>
    </row>
    <row r="28" spans="1:10" x14ac:dyDescent="0.45">
      <c r="A28" s="1">
        <f t="shared" si="1"/>
        <v>17</v>
      </c>
      <c r="B28" s="1">
        <v>1</v>
      </c>
      <c r="C28" s="1">
        <v>3</v>
      </c>
      <c r="D28" s="1">
        <v>4</v>
      </c>
      <c r="E28" s="1">
        <v>6</v>
      </c>
      <c r="F28" s="5">
        <f t="shared" si="2"/>
        <v>5.5</v>
      </c>
      <c r="G28" s="5">
        <f t="shared" si="3"/>
        <v>4</v>
      </c>
      <c r="H28" s="5">
        <f t="shared" si="4"/>
        <v>0.72727272727272729</v>
      </c>
      <c r="I28" s="5">
        <f t="shared" si="5"/>
        <v>32</v>
      </c>
      <c r="J28" s="5">
        <f t="shared" si="6"/>
        <v>34.18181818181818</v>
      </c>
    </row>
    <row r="29" spans="1:10" x14ac:dyDescent="0.45">
      <c r="A29" s="1">
        <f t="shared" si="1"/>
        <v>18</v>
      </c>
      <c r="B29" s="1">
        <v>1</v>
      </c>
      <c r="C29" s="1">
        <v>3</v>
      </c>
      <c r="D29" s="1">
        <v>4</v>
      </c>
      <c r="E29" s="1">
        <v>7</v>
      </c>
      <c r="F29" s="5">
        <f t="shared" si="2"/>
        <v>5.5</v>
      </c>
      <c r="G29" s="5">
        <f t="shared" si="3"/>
        <v>4</v>
      </c>
      <c r="H29" s="5">
        <f t="shared" si="4"/>
        <v>0.72727272727272729</v>
      </c>
      <c r="I29" s="5">
        <f t="shared" si="5"/>
        <v>32</v>
      </c>
      <c r="J29" s="5">
        <f t="shared" si="6"/>
        <v>34.18181818181818</v>
      </c>
    </row>
    <row r="30" spans="1:10" x14ac:dyDescent="0.45">
      <c r="A30" s="1">
        <f t="shared" si="1"/>
        <v>19</v>
      </c>
      <c r="B30" s="1">
        <v>1</v>
      </c>
      <c r="C30" s="1">
        <v>3</v>
      </c>
      <c r="D30" s="1">
        <v>4</v>
      </c>
      <c r="E30" s="1">
        <v>8</v>
      </c>
      <c r="F30" s="5">
        <f t="shared" si="2"/>
        <v>5</v>
      </c>
      <c r="G30" s="5">
        <f t="shared" si="3"/>
        <v>4.25</v>
      </c>
      <c r="H30" s="5">
        <f t="shared" si="4"/>
        <v>0.85</v>
      </c>
      <c r="I30" s="5">
        <f t="shared" si="5"/>
        <v>34</v>
      </c>
      <c r="J30" s="5">
        <f t="shared" si="6"/>
        <v>39.950000000000003</v>
      </c>
    </row>
    <row r="31" spans="1:10" x14ac:dyDescent="0.45">
      <c r="A31" s="1">
        <f t="shared" si="1"/>
        <v>20</v>
      </c>
      <c r="B31" s="1">
        <v>1</v>
      </c>
      <c r="C31" s="1">
        <v>3</v>
      </c>
      <c r="D31" s="1">
        <v>5</v>
      </c>
      <c r="E31" s="1">
        <v>6</v>
      </c>
      <c r="F31" s="5">
        <f t="shared" si="2"/>
        <v>6</v>
      </c>
      <c r="G31" s="5">
        <f t="shared" si="3"/>
        <v>4.75</v>
      </c>
      <c r="H31" s="5">
        <f t="shared" si="4"/>
        <v>0.79166666666666663</v>
      </c>
      <c r="I31" s="5">
        <f t="shared" si="5"/>
        <v>38</v>
      </c>
      <c r="J31" s="5">
        <f t="shared" si="6"/>
        <v>37.208333333333329</v>
      </c>
    </row>
    <row r="32" spans="1:10" x14ac:dyDescent="0.45">
      <c r="A32" s="1">
        <f t="shared" si="1"/>
        <v>21</v>
      </c>
      <c r="B32" s="1">
        <v>1</v>
      </c>
      <c r="C32" s="1">
        <v>3</v>
      </c>
      <c r="D32" s="1">
        <v>5</v>
      </c>
      <c r="E32" s="1">
        <v>7</v>
      </c>
      <c r="F32" s="5">
        <f t="shared" si="2"/>
        <v>6</v>
      </c>
      <c r="G32" s="5">
        <f t="shared" si="3"/>
        <v>4.75</v>
      </c>
      <c r="H32" s="5">
        <f t="shared" si="4"/>
        <v>0.79166666666666663</v>
      </c>
      <c r="I32" s="5">
        <f t="shared" si="5"/>
        <v>38</v>
      </c>
      <c r="J32" s="5">
        <f t="shared" si="6"/>
        <v>37.208333333333329</v>
      </c>
    </row>
    <row r="33" spans="1:10" x14ac:dyDescent="0.45">
      <c r="A33" s="1">
        <f t="shared" si="1"/>
        <v>22</v>
      </c>
      <c r="B33" s="1">
        <v>1</v>
      </c>
      <c r="C33" s="1">
        <v>3</v>
      </c>
      <c r="D33" s="1">
        <v>5</v>
      </c>
      <c r="E33" s="1">
        <v>8</v>
      </c>
      <c r="F33" s="5">
        <f t="shared" si="2"/>
        <v>5.5</v>
      </c>
      <c r="G33" s="5">
        <f t="shared" si="3"/>
        <v>5</v>
      </c>
      <c r="H33" s="5">
        <f t="shared" si="4"/>
        <v>0.90909090909090906</v>
      </c>
      <c r="I33" s="5">
        <f t="shared" si="5"/>
        <v>40</v>
      </c>
      <c r="J33" s="5">
        <f t="shared" si="6"/>
        <v>42.727272727272727</v>
      </c>
    </row>
    <row r="34" spans="1:10" x14ac:dyDescent="0.45">
      <c r="A34" s="1">
        <f t="shared" si="1"/>
        <v>23</v>
      </c>
      <c r="B34" s="1">
        <v>1</v>
      </c>
      <c r="C34" s="1">
        <v>3</v>
      </c>
      <c r="D34" s="1">
        <v>6</v>
      </c>
      <c r="E34" s="1">
        <v>7</v>
      </c>
      <c r="F34" s="5">
        <f t="shared" si="2"/>
        <v>5.75</v>
      </c>
      <c r="G34" s="5">
        <f t="shared" si="3"/>
        <v>4.75</v>
      </c>
      <c r="H34" s="5">
        <f t="shared" si="4"/>
        <v>0.82608695652173914</v>
      </c>
      <c r="I34" s="5">
        <f t="shared" si="5"/>
        <v>38</v>
      </c>
      <c r="J34" s="5">
        <f t="shared" si="6"/>
        <v>38.826086956521742</v>
      </c>
    </row>
    <row r="35" spans="1:10" x14ac:dyDescent="0.45">
      <c r="A35" s="1">
        <f t="shared" si="1"/>
        <v>24</v>
      </c>
      <c r="B35" s="1">
        <v>1</v>
      </c>
      <c r="C35" s="1">
        <v>3</v>
      </c>
      <c r="D35" s="1">
        <v>6</v>
      </c>
      <c r="E35" s="1">
        <v>8</v>
      </c>
      <c r="F35" s="5">
        <f t="shared" si="2"/>
        <v>5.25</v>
      </c>
      <c r="G35" s="5">
        <f t="shared" si="3"/>
        <v>5</v>
      </c>
      <c r="H35" s="5">
        <f t="shared" si="4"/>
        <v>0.95238095238095233</v>
      </c>
      <c r="I35" s="5">
        <f t="shared" si="5"/>
        <v>40</v>
      </c>
      <c r="J35" s="5">
        <f t="shared" si="6"/>
        <v>44.761904761904759</v>
      </c>
    </row>
    <row r="36" spans="1:10" x14ac:dyDescent="0.45">
      <c r="A36" s="1">
        <f t="shared" si="1"/>
        <v>25</v>
      </c>
      <c r="B36" s="1">
        <v>1</v>
      </c>
      <c r="C36" s="1">
        <v>3</v>
      </c>
      <c r="D36" s="1">
        <v>7</v>
      </c>
      <c r="E36" s="1">
        <v>8</v>
      </c>
      <c r="F36" s="5">
        <f t="shared" si="2"/>
        <v>5.25</v>
      </c>
      <c r="G36" s="5">
        <f t="shared" si="3"/>
        <v>5</v>
      </c>
      <c r="H36" s="5">
        <f t="shared" si="4"/>
        <v>0.95238095238095233</v>
      </c>
      <c r="I36" s="5">
        <f t="shared" si="5"/>
        <v>40</v>
      </c>
      <c r="J36" s="5">
        <f t="shared" si="6"/>
        <v>44.761904761904759</v>
      </c>
    </row>
    <row r="37" spans="1:10" x14ac:dyDescent="0.45">
      <c r="A37" s="1">
        <f t="shared" si="1"/>
        <v>26</v>
      </c>
      <c r="B37" s="1">
        <v>1</v>
      </c>
      <c r="C37" s="1">
        <v>4</v>
      </c>
      <c r="D37" s="1">
        <v>5</v>
      </c>
      <c r="E37" s="1">
        <v>6</v>
      </c>
      <c r="F37" s="5">
        <f t="shared" si="2"/>
        <v>6.25</v>
      </c>
      <c r="G37" s="5">
        <f t="shared" si="3"/>
        <v>4.75</v>
      </c>
      <c r="H37" s="5">
        <f t="shared" si="4"/>
        <v>0.76</v>
      </c>
      <c r="I37" s="5">
        <f t="shared" si="5"/>
        <v>38</v>
      </c>
      <c r="J37" s="5">
        <f t="shared" si="6"/>
        <v>35.72</v>
      </c>
    </row>
    <row r="38" spans="1:10" x14ac:dyDescent="0.45">
      <c r="A38" s="1">
        <f t="shared" si="1"/>
        <v>27</v>
      </c>
      <c r="B38" s="1">
        <v>1</v>
      </c>
      <c r="C38" s="1">
        <v>4</v>
      </c>
      <c r="D38" s="1">
        <v>5</v>
      </c>
      <c r="E38" s="1">
        <v>7</v>
      </c>
      <c r="F38" s="5">
        <f t="shared" si="2"/>
        <v>6.25</v>
      </c>
      <c r="G38" s="5">
        <f t="shared" si="3"/>
        <v>4.75</v>
      </c>
      <c r="H38" s="5">
        <f t="shared" si="4"/>
        <v>0.76</v>
      </c>
      <c r="I38" s="5">
        <f t="shared" si="5"/>
        <v>38</v>
      </c>
      <c r="J38" s="5">
        <f t="shared" si="6"/>
        <v>35.72</v>
      </c>
    </row>
    <row r="39" spans="1:10" x14ac:dyDescent="0.45">
      <c r="A39" s="1">
        <f t="shared" si="1"/>
        <v>28</v>
      </c>
      <c r="B39" s="1">
        <v>1</v>
      </c>
      <c r="C39" s="1">
        <v>4</v>
      </c>
      <c r="D39" s="1">
        <v>5</v>
      </c>
      <c r="E39" s="1">
        <v>8</v>
      </c>
      <c r="F39" s="5">
        <f t="shared" si="2"/>
        <v>5.75</v>
      </c>
      <c r="G39" s="5">
        <f t="shared" si="3"/>
        <v>5</v>
      </c>
      <c r="H39" s="5">
        <f t="shared" si="4"/>
        <v>0.86956521739130432</v>
      </c>
      <c r="I39" s="5">
        <f t="shared" si="5"/>
        <v>40</v>
      </c>
      <c r="J39" s="5">
        <f t="shared" si="6"/>
        <v>40.869565217391312</v>
      </c>
    </row>
    <row r="40" spans="1:10" x14ac:dyDescent="0.45">
      <c r="A40" s="1">
        <f t="shared" si="1"/>
        <v>29</v>
      </c>
      <c r="B40" s="1">
        <v>1</v>
      </c>
      <c r="C40" s="1">
        <v>4</v>
      </c>
      <c r="D40" s="1">
        <v>6</v>
      </c>
      <c r="E40" s="1">
        <v>7</v>
      </c>
      <c r="F40" s="5">
        <f t="shared" si="2"/>
        <v>6</v>
      </c>
      <c r="G40" s="5">
        <f t="shared" si="3"/>
        <v>4.75</v>
      </c>
      <c r="H40" s="5">
        <f t="shared" si="4"/>
        <v>0.79166666666666663</v>
      </c>
      <c r="I40" s="5">
        <f t="shared" si="5"/>
        <v>38</v>
      </c>
      <c r="J40" s="5">
        <f t="shared" si="6"/>
        <v>37.208333333333329</v>
      </c>
    </row>
    <row r="41" spans="1:10" x14ac:dyDescent="0.45">
      <c r="A41" s="1">
        <f t="shared" si="1"/>
        <v>30</v>
      </c>
      <c r="B41" s="1">
        <v>1</v>
      </c>
      <c r="C41" s="1">
        <v>4</v>
      </c>
      <c r="D41" s="1">
        <v>6</v>
      </c>
      <c r="E41" s="1">
        <v>8</v>
      </c>
      <c r="F41" s="5">
        <f t="shared" si="2"/>
        <v>5.5</v>
      </c>
      <c r="G41" s="5">
        <f t="shared" si="3"/>
        <v>5</v>
      </c>
      <c r="H41" s="5">
        <f t="shared" si="4"/>
        <v>0.90909090909090906</v>
      </c>
      <c r="I41" s="5">
        <f t="shared" si="5"/>
        <v>40</v>
      </c>
      <c r="J41" s="5">
        <f t="shared" si="6"/>
        <v>42.727272727272727</v>
      </c>
    </row>
    <row r="42" spans="1:10" x14ac:dyDescent="0.45">
      <c r="A42" s="1">
        <f t="shared" si="1"/>
        <v>31</v>
      </c>
      <c r="B42" s="1">
        <v>1</v>
      </c>
      <c r="C42" s="1">
        <v>4</v>
      </c>
      <c r="D42" s="1">
        <v>7</v>
      </c>
      <c r="E42" s="1">
        <v>8</v>
      </c>
      <c r="F42" s="5">
        <f t="shared" si="2"/>
        <v>5.5</v>
      </c>
      <c r="G42" s="5">
        <f t="shared" si="3"/>
        <v>5</v>
      </c>
      <c r="H42" s="5">
        <f t="shared" si="4"/>
        <v>0.90909090909090906</v>
      </c>
      <c r="I42" s="5">
        <f t="shared" si="5"/>
        <v>40</v>
      </c>
      <c r="J42" s="5">
        <f t="shared" si="6"/>
        <v>42.727272727272727</v>
      </c>
    </row>
    <row r="43" spans="1:10" x14ac:dyDescent="0.45">
      <c r="A43" s="1">
        <f t="shared" si="1"/>
        <v>32</v>
      </c>
      <c r="B43" s="1">
        <v>1</v>
      </c>
      <c r="C43" s="1">
        <v>5</v>
      </c>
      <c r="D43" s="1">
        <v>6</v>
      </c>
      <c r="E43" s="1">
        <v>7</v>
      </c>
      <c r="F43" s="5">
        <f t="shared" si="2"/>
        <v>6.5</v>
      </c>
      <c r="G43" s="5">
        <f t="shared" si="3"/>
        <v>5.5</v>
      </c>
      <c r="H43" s="5">
        <f t="shared" si="4"/>
        <v>0.84615384615384615</v>
      </c>
      <c r="I43" s="5">
        <f t="shared" si="5"/>
        <v>44</v>
      </c>
      <c r="J43" s="5">
        <f t="shared" si="6"/>
        <v>39.769230769230766</v>
      </c>
    </row>
    <row r="44" spans="1:10" x14ac:dyDescent="0.45">
      <c r="A44" s="1">
        <f t="shared" si="1"/>
        <v>33</v>
      </c>
      <c r="B44" s="1">
        <v>1</v>
      </c>
      <c r="C44" s="1">
        <v>5</v>
      </c>
      <c r="D44" s="1">
        <v>6</v>
      </c>
      <c r="E44" s="1">
        <v>8</v>
      </c>
      <c r="F44" s="5">
        <f t="shared" si="2"/>
        <v>6</v>
      </c>
      <c r="G44" s="5">
        <f t="shared" si="3"/>
        <v>5.75</v>
      </c>
      <c r="H44" s="5">
        <f t="shared" si="4"/>
        <v>0.95833333333333337</v>
      </c>
      <c r="I44" s="5">
        <f t="shared" si="5"/>
        <v>46</v>
      </c>
      <c r="J44" s="5">
        <f t="shared" si="6"/>
        <v>45.041666666666664</v>
      </c>
    </row>
    <row r="45" spans="1:10" x14ac:dyDescent="0.45">
      <c r="A45" s="1">
        <f t="shared" si="1"/>
        <v>34</v>
      </c>
      <c r="B45" s="1">
        <v>1</v>
      </c>
      <c r="C45" s="1">
        <v>5</v>
      </c>
      <c r="D45" s="1">
        <v>7</v>
      </c>
      <c r="E45" s="1">
        <v>8</v>
      </c>
      <c r="F45" s="5">
        <f t="shared" si="2"/>
        <v>6</v>
      </c>
      <c r="G45" s="5">
        <f t="shared" si="3"/>
        <v>5.75</v>
      </c>
      <c r="H45" s="5">
        <f t="shared" si="4"/>
        <v>0.95833333333333337</v>
      </c>
      <c r="I45" s="5">
        <f t="shared" si="5"/>
        <v>46</v>
      </c>
      <c r="J45" s="5">
        <f t="shared" si="6"/>
        <v>45.041666666666664</v>
      </c>
    </row>
    <row r="46" spans="1:10" x14ac:dyDescent="0.45">
      <c r="A46" s="1">
        <f t="shared" si="1"/>
        <v>35</v>
      </c>
      <c r="B46" s="1">
        <v>1</v>
      </c>
      <c r="C46" s="1">
        <v>6</v>
      </c>
      <c r="D46" s="1">
        <v>7</v>
      </c>
      <c r="E46" s="1">
        <v>8</v>
      </c>
      <c r="F46" s="5">
        <f t="shared" si="2"/>
        <v>5.75</v>
      </c>
      <c r="G46" s="5">
        <f t="shared" si="3"/>
        <v>5.75</v>
      </c>
      <c r="H46" s="5">
        <f t="shared" si="4"/>
        <v>1</v>
      </c>
      <c r="I46" s="5">
        <f t="shared" si="5"/>
        <v>46</v>
      </c>
      <c r="J46" s="5">
        <f t="shared" si="6"/>
        <v>47.000000000000007</v>
      </c>
    </row>
    <row r="47" spans="1:10" x14ac:dyDescent="0.45">
      <c r="A47" s="1">
        <f t="shared" si="1"/>
        <v>36</v>
      </c>
      <c r="B47" s="1">
        <v>2</v>
      </c>
      <c r="C47" s="1">
        <v>3</v>
      </c>
      <c r="D47" s="1">
        <v>4</v>
      </c>
      <c r="E47" s="1">
        <v>5</v>
      </c>
      <c r="F47" s="5">
        <f t="shared" si="2"/>
        <v>6</v>
      </c>
      <c r="G47" s="5">
        <f t="shared" si="3"/>
        <v>4.25</v>
      </c>
      <c r="H47" s="5">
        <f t="shared" si="4"/>
        <v>0.70833333333333337</v>
      </c>
      <c r="I47" s="5">
        <f t="shared" si="5"/>
        <v>34</v>
      </c>
      <c r="J47" s="5">
        <f t="shared" si="6"/>
        <v>33.291666666666664</v>
      </c>
    </row>
    <row r="48" spans="1:10" x14ac:dyDescent="0.45">
      <c r="A48" s="1">
        <f t="shared" si="1"/>
        <v>37</v>
      </c>
      <c r="B48" s="1">
        <v>2</v>
      </c>
      <c r="C48" s="1">
        <v>3</v>
      </c>
      <c r="D48" s="1">
        <v>4</v>
      </c>
      <c r="E48" s="1">
        <v>6</v>
      </c>
      <c r="F48" s="5">
        <f t="shared" si="2"/>
        <v>5.75</v>
      </c>
      <c r="G48" s="5">
        <f t="shared" si="3"/>
        <v>4.25</v>
      </c>
      <c r="H48" s="5">
        <f t="shared" si="4"/>
        <v>0.73913043478260865</v>
      </c>
      <c r="I48" s="5">
        <f t="shared" si="5"/>
        <v>34</v>
      </c>
      <c r="J48" s="5">
        <f t="shared" si="6"/>
        <v>34.739130434782609</v>
      </c>
    </row>
    <row r="49" spans="1:10" x14ac:dyDescent="0.45">
      <c r="A49" s="1">
        <f t="shared" si="1"/>
        <v>38</v>
      </c>
      <c r="B49" s="1">
        <v>2</v>
      </c>
      <c r="C49" s="1">
        <v>3</v>
      </c>
      <c r="D49" s="1">
        <v>4</v>
      </c>
      <c r="E49" s="1">
        <v>7</v>
      </c>
      <c r="F49" s="5">
        <f t="shared" si="2"/>
        <v>5.75</v>
      </c>
      <c r="G49" s="5">
        <f t="shared" si="3"/>
        <v>4.25</v>
      </c>
      <c r="H49" s="5">
        <f t="shared" si="4"/>
        <v>0.73913043478260865</v>
      </c>
      <c r="I49" s="5">
        <f t="shared" si="5"/>
        <v>34</v>
      </c>
      <c r="J49" s="5">
        <f t="shared" si="6"/>
        <v>34.739130434782609</v>
      </c>
    </row>
    <row r="50" spans="1:10" x14ac:dyDescent="0.45">
      <c r="A50" s="1">
        <f t="shared" si="1"/>
        <v>39</v>
      </c>
      <c r="B50" s="1">
        <v>2</v>
      </c>
      <c r="C50" s="1">
        <v>3</v>
      </c>
      <c r="D50" s="1">
        <v>4</v>
      </c>
      <c r="E50" s="1">
        <v>8</v>
      </c>
      <c r="F50" s="5">
        <f t="shared" si="2"/>
        <v>5.25</v>
      </c>
      <c r="G50" s="5">
        <f t="shared" si="3"/>
        <v>4.5</v>
      </c>
      <c r="H50" s="5">
        <f t="shared" si="4"/>
        <v>0.8571428571428571</v>
      </c>
      <c r="I50" s="5">
        <f t="shared" si="5"/>
        <v>36</v>
      </c>
      <c r="J50" s="5">
        <f t="shared" si="6"/>
        <v>40.285714285714285</v>
      </c>
    </row>
    <row r="51" spans="1:10" x14ac:dyDescent="0.45">
      <c r="A51" s="1">
        <f t="shared" si="1"/>
        <v>40</v>
      </c>
      <c r="B51" s="1">
        <v>2</v>
      </c>
      <c r="C51" s="1">
        <v>3</v>
      </c>
      <c r="D51" s="1">
        <v>5</v>
      </c>
      <c r="E51" s="1">
        <v>6</v>
      </c>
      <c r="F51" s="5">
        <f t="shared" si="2"/>
        <v>6.25</v>
      </c>
      <c r="G51" s="5">
        <f t="shared" si="3"/>
        <v>5</v>
      </c>
      <c r="H51" s="5">
        <f t="shared" si="4"/>
        <v>0.8</v>
      </c>
      <c r="I51" s="5">
        <f t="shared" si="5"/>
        <v>40</v>
      </c>
      <c r="J51" s="5">
        <f t="shared" si="6"/>
        <v>37.599999999999994</v>
      </c>
    </row>
    <row r="52" spans="1:10" x14ac:dyDescent="0.45">
      <c r="A52" s="1">
        <f t="shared" si="1"/>
        <v>41</v>
      </c>
      <c r="B52" s="1">
        <v>2</v>
      </c>
      <c r="C52" s="1">
        <v>3</v>
      </c>
      <c r="D52" s="1">
        <v>5</v>
      </c>
      <c r="E52" s="1">
        <v>7</v>
      </c>
      <c r="F52" s="5">
        <f t="shared" si="2"/>
        <v>6.25</v>
      </c>
      <c r="G52" s="5">
        <f t="shared" si="3"/>
        <v>5</v>
      </c>
      <c r="H52" s="5">
        <f t="shared" si="4"/>
        <v>0.8</v>
      </c>
      <c r="I52" s="5">
        <f t="shared" si="5"/>
        <v>40</v>
      </c>
      <c r="J52" s="5">
        <f t="shared" si="6"/>
        <v>37.599999999999994</v>
      </c>
    </row>
    <row r="53" spans="1:10" x14ac:dyDescent="0.45">
      <c r="A53" s="1">
        <f t="shared" si="1"/>
        <v>42</v>
      </c>
      <c r="B53" s="1">
        <v>2</v>
      </c>
      <c r="C53" s="1">
        <v>3</v>
      </c>
      <c r="D53" s="1">
        <v>5</v>
      </c>
      <c r="E53" s="1">
        <v>8</v>
      </c>
      <c r="F53" s="5">
        <f t="shared" si="2"/>
        <v>5.75</v>
      </c>
      <c r="G53" s="5">
        <f t="shared" si="3"/>
        <v>5.25</v>
      </c>
      <c r="H53" s="5">
        <f t="shared" si="4"/>
        <v>0.91304347826086951</v>
      </c>
      <c r="I53" s="5">
        <f t="shared" si="5"/>
        <v>42</v>
      </c>
      <c r="J53" s="5">
        <f t="shared" si="6"/>
        <v>42.913043478260875</v>
      </c>
    </row>
    <row r="54" spans="1:10" x14ac:dyDescent="0.45">
      <c r="A54" s="1">
        <f t="shared" si="1"/>
        <v>43</v>
      </c>
      <c r="B54" s="1">
        <v>2</v>
      </c>
      <c r="C54" s="1">
        <v>3</v>
      </c>
      <c r="D54" s="1">
        <v>6</v>
      </c>
      <c r="E54" s="1">
        <v>7</v>
      </c>
      <c r="F54" s="5">
        <f t="shared" si="2"/>
        <v>6</v>
      </c>
      <c r="G54" s="5">
        <f t="shared" si="3"/>
        <v>5</v>
      </c>
      <c r="H54" s="5">
        <f t="shared" si="4"/>
        <v>0.83333333333333337</v>
      </c>
      <c r="I54" s="5">
        <f t="shared" si="5"/>
        <v>40</v>
      </c>
      <c r="J54" s="5">
        <f t="shared" si="6"/>
        <v>39.166666666666664</v>
      </c>
    </row>
    <row r="55" spans="1:10" x14ac:dyDescent="0.45">
      <c r="A55" s="1">
        <f t="shared" si="1"/>
        <v>44</v>
      </c>
      <c r="B55" s="1">
        <v>2</v>
      </c>
      <c r="C55" s="1">
        <v>3</v>
      </c>
      <c r="D55" s="1">
        <v>6</v>
      </c>
      <c r="E55" s="1">
        <v>8</v>
      </c>
      <c r="F55" s="5">
        <f t="shared" si="2"/>
        <v>5.5</v>
      </c>
      <c r="G55" s="5">
        <f t="shared" si="3"/>
        <v>5.25</v>
      </c>
      <c r="H55" s="5">
        <f t="shared" si="4"/>
        <v>0.95454545454545459</v>
      </c>
      <c r="I55" s="5">
        <f t="shared" si="5"/>
        <v>42</v>
      </c>
      <c r="J55" s="5">
        <f t="shared" si="6"/>
        <v>44.86363636363636</v>
      </c>
    </row>
    <row r="56" spans="1:10" x14ac:dyDescent="0.45">
      <c r="A56" s="1">
        <f t="shared" si="1"/>
        <v>45</v>
      </c>
      <c r="B56" s="1">
        <v>2</v>
      </c>
      <c r="C56" s="1">
        <v>3</v>
      </c>
      <c r="D56" s="1">
        <v>7</v>
      </c>
      <c r="E56" s="1">
        <v>8</v>
      </c>
      <c r="F56" s="5">
        <f t="shared" si="2"/>
        <v>5.5</v>
      </c>
      <c r="G56" s="5">
        <f t="shared" si="3"/>
        <v>5.25</v>
      </c>
      <c r="H56" s="5">
        <f t="shared" si="4"/>
        <v>0.95454545454545459</v>
      </c>
      <c r="I56" s="5">
        <f t="shared" si="5"/>
        <v>42</v>
      </c>
      <c r="J56" s="5">
        <f t="shared" si="6"/>
        <v>44.86363636363636</v>
      </c>
    </row>
    <row r="57" spans="1:10" x14ac:dyDescent="0.45">
      <c r="A57" s="1">
        <f t="shared" si="1"/>
        <v>46</v>
      </c>
      <c r="B57" s="1">
        <v>2</v>
      </c>
      <c r="C57" s="1">
        <v>4</v>
      </c>
      <c r="D57" s="1">
        <v>5</v>
      </c>
      <c r="E57" s="1">
        <v>6</v>
      </c>
      <c r="F57" s="5">
        <f t="shared" si="2"/>
        <v>6.5</v>
      </c>
      <c r="G57" s="5">
        <f t="shared" si="3"/>
        <v>5</v>
      </c>
      <c r="H57" s="5">
        <f t="shared" si="4"/>
        <v>0.76923076923076927</v>
      </c>
      <c r="I57" s="5">
        <f t="shared" si="5"/>
        <v>40</v>
      </c>
      <c r="J57" s="5">
        <f t="shared" si="6"/>
        <v>36.153846153846153</v>
      </c>
    </row>
    <row r="58" spans="1:10" x14ac:dyDescent="0.45">
      <c r="A58" s="1">
        <f t="shared" si="1"/>
        <v>47</v>
      </c>
      <c r="B58" s="1">
        <v>2</v>
      </c>
      <c r="C58" s="1">
        <v>4</v>
      </c>
      <c r="D58" s="1">
        <v>5</v>
      </c>
      <c r="E58" s="1">
        <v>7</v>
      </c>
      <c r="F58" s="5">
        <f t="shared" si="2"/>
        <v>6.5</v>
      </c>
      <c r="G58" s="5">
        <f t="shared" si="3"/>
        <v>5</v>
      </c>
      <c r="H58" s="5">
        <f t="shared" si="4"/>
        <v>0.76923076923076927</v>
      </c>
      <c r="I58" s="5">
        <f t="shared" si="5"/>
        <v>40</v>
      </c>
      <c r="J58" s="5">
        <f t="shared" si="6"/>
        <v>36.153846153846153</v>
      </c>
    </row>
    <row r="59" spans="1:10" x14ac:dyDescent="0.45">
      <c r="A59" s="1">
        <f t="shared" si="1"/>
        <v>48</v>
      </c>
      <c r="B59" s="1">
        <v>2</v>
      </c>
      <c r="C59" s="1">
        <v>4</v>
      </c>
      <c r="D59" s="1">
        <v>5</v>
      </c>
      <c r="E59" s="1">
        <v>8</v>
      </c>
      <c r="F59" s="5">
        <f t="shared" si="2"/>
        <v>6</v>
      </c>
      <c r="G59" s="5">
        <f t="shared" si="3"/>
        <v>5.25</v>
      </c>
      <c r="H59" s="5">
        <f t="shared" si="4"/>
        <v>0.875</v>
      </c>
      <c r="I59" s="5">
        <f t="shared" si="5"/>
        <v>42</v>
      </c>
      <c r="J59" s="5">
        <f t="shared" si="6"/>
        <v>41.125</v>
      </c>
    </row>
    <row r="60" spans="1:10" x14ac:dyDescent="0.45">
      <c r="A60" s="1">
        <f t="shared" si="1"/>
        <v>49</v>
      </c>
      <c r="B60" s="1">
        <v>2</v>
      </c>
      <c r="C60" s="1">
        <v>4</v>
      </c>
      <c r="D60" s="1">
        <v>6</v>
      </c>
      <c r="E60" s="1">
        <v>7</v>
      </c>
      <c r="F60" s="5">
        <f t="shared" si="2"/>
        <v>6.25</v>
      </c>
      <c r="G60" s="5">
        <f t="shared" si="3"/>
        <v>5</v>
      </c>
      <c r="H60" s="5">
        <f t="shared" si="4"/>
        <v>0.8</v>
      </c>
      <c r="I60" s="5">
        <f t="shared" si="5"/>
        <v>40</v>
      </c>
      <c r="J60" s="5">
        <f t="shared" si="6"/>
        <v>37.599999999999994</v>
      </c>
    </row>
    <row r="61" spans="1:10" x14ac:dyDescent="0.45">
      <c r="A61" s="1">
        <f t="shared" si="1"/>
        <v>50</v>
      </c>
      <c r="B61" s="1">
        <v>2</v>
      </c>
      <c r="C61" s="1">
        <v>4</v>
      </c>
      <c r="D61" s="1">
        <v>6</v>
      </c>
      <c r="E61" s="1">
        <v>8</v>
      </c>
      <c r="F61" s="5">
        <f t="shared" si="2"/>
        <v>5.75</v>
      </c>
      <c r="G61" s="5">
        <f t="shared" si="3"/>
        <v>5.25</v>
      </c>
      <c r="H61" s="5">
        <f t="shared" si="4"/>
        <v>0.91304347826086951</v>
      </c>
      <c r="I61" s="5">
        <f t="shared" si="5"/>
        <v>42</v>
      </c>
      <c r="J61" s="5">
        <f t="shared" si="6"/>
        <v>42.913043478260875</v>
      </c>
    </row>
    <row r="62" spans="1:10" x14ac:dyDescent="0.45">
      <c r="A62" s="1">
        <f t="shared" si="1"/>
        <v>51</v>
      </c>
      <c r="B62" s="1">
        <v>2</v>
      </c>
      <c r="C62" s="1">
        <v>4</v>
      </c>
      <c r="D62" s="1">
        <v>7</v>
      </c>
      <c r="E62" s="1">
        <v>8</v>
      </c>
      <c r="F62" s="5">
        <f t="shared" si="2"/>
        <v>5.75</v>
      </c>
      <c r="G62" s="5">
        <f t="shared" si="3"/>
        <v>5.25</v>
      </c>
      <c r="H62" s="5">
        <f t="shared" si="4"/>
        <v>0.91304347826086951</v>
      </c>
      <c r="I62" s="5">
        <f t="shared" si="5"/>
        <v>42</v>
      </c>
      <c r="J62" s="5">
        <f t="shared" si="6"/>
        <v>42.913043478260875</v>
      </c>
    </row>
    <row r="63" spans="1:10" x14ac:dyDescent="0.45">
      <c r="A63" s="1">
        <f t="shared" si="1"/>
        <v>52</v>
      </c>
      <c r="B63" s="1">
        <v>2</v>
      </c>
      <c r="C63" s="1">
        <v>5</v>
      </c>
      <c r="D63" s="1">
        <v>6</v>
      </c>
      <c r="E63" s="1">
        <v>7</v>
      </c>
      <c r="F63" s="5">
        <f t="shared" si="2"/>
        <v>6.75</v>
      </c>
      <c r="G63" s="5">
        <f t="shared" si="3"/>
        <v>5.75</v>
      </c>
      <c r="H63" s="5">
        <f t="shared" si="4"/>
        <v>0.85185185185185186</v>
      </c>
      <c r="I63" s="5">
        <f t="shared" si="5"/>
        <v>46</v>
      </c>
      <c r="J63" s="5">
        <f t="shared" si="6"/>
        <v>40.037037037037038</v>
      </c>
    </row>
    <row r="64" spans="1:10" x14ac:dyDescent="0.45">
      <c r="A64" s="1">
        <f t="shared" si="1"/>
        <v>53</v>
      </c>
      <c r="B64" s="1">
        <v>2</v>
      </c>
      <c r="C64" s="1">
        <v>5</v>
      </c>
      <c r="D64" s="1">
        <v>6</v>
      </c>
      <c r="E64" s="1">
        <v>8</v>
      </c>
      <c r="F64" s="5">
        <f t="shared" si="2"/>
        <v>6.25</v>
      </c>
      <c r="G64" s="5">
        <f t="shared" si="3"/>
        <v>6</v>
      </c>
      <c r="H64" s="5">
        <f t="shared" si="4"/>
        <v>0.96</v>
      </c>
      <c r="I64" s="5">
        <f t="shared" si="5"/>
        <v>48</v>
      </c>
      <c r="J64" s="5">
        <f t="shared" si="6"/>
        <v>45.12</v>
      </c>
    </row>
    <row r="65" spans="1:10" x14ac:dyDescent="0.45">
      <c r="A65" s="1">
        <f t="shared" si="1"/>
        <v>54</v>
      </c>
      <c r="B65" s="1">
        <v>2</v>
      </c>
      <c r="C65" s="1">
        <v>5</v>
      </c>
      <c r="D65" s="1">
        <v>7</v>
      </c>
      <c r="E65" s="1">
        <v>8</v>
      </c>
      <c r="F65" s="5">
        <f t="shared" si="2"/>
        <v>6.25</v>
      </c>
      <c r="G65" s="5">
        <f t="shared" si="3"/>
        <v>6</v>
      </c>
      <c r="H65" s="5">
        <f t="shared" si="4"/>
        <v>0.96</v>
      </c>
      <c r="I65" s="5">
        <f t="shared" si="5"/>
        <v>48</v>
      </c>
      <c r="J65" s="5">
        <f t="shared" si="6"/>
        <v>45.12</v>
      </c>
    </row>
    <row r="66" spans="1:10" x14ac:dyDescent="0.45">
      <c r="A66" s="1">
        <f t="shared" si="1"/>
        <v>55</v>
      </c>
      <c r="B66" s="1">
        <v>2</v>
      </c>
      <c r="C66" s="1">
        <v>6</v>
      </c>
      <c r="D66" s="1">
        <v>7</v>
      </c>
      <c r="E66" s="1">
        <v>8</v>
      </c>
      <c r="F66" s="5">
        <f t="shared" si="2"/>
        <v>6</v>
      </c>
      <c r="G66" s="5">
        <f t="shared" si="3"/>
        <v>6</v>
      </c>
      <c r="H66" s="5">
        <f t="shared" si="4"/>
        <v>1</v>
      </c>
      <c r="I66" s="5">
        <f t="shared" si="5"/>
        <v>48</v>
      </c>
      <c r="J66" s="5">
        <f t="shared" si="6"/>
        <v>47</v>
      </c>
    </row>
    <row r="67" spans="1:10" x14ac:dyDescent="0.45">
      <c r="A67" s="1">
        <f t="shared" si="1"/>
        <v>56</v>
      </c>
      <c r="B67" s="1">
        <v>3</v>
      </c>
      <c r="C67" s="1">
        <v>4</v>
      </c>
      <c r="D67" s="1">
        <v>5</v>
      </c>
      <c r="E67" s="1">
        <v>6</v>
      </c>
      <c r="F67" s="5">
        <f t="shared" si="2"/>
        <v>6.5</v>
      </c>
      <c r="G67" s="5">
        <f t="shared" si="3"/>
        <v>5.5</v>
      </c>
      <c r="H67" s="5">
        <f t="shared" si="4"/>
        <v>0.84615384615384615</v>
      </c>
      <c r="I67" s="5">
        <f t="shared" si="5"/>
        <v>44</v>
      </c>
      <c r="J67" s="5">
        <f t="shared" si="6"/>
        <v>39.769230769230766</v>
      </c>
    </row>
    <row r="68" spans="1:10" x14ac:dyDescent="0.45">
      <c r="A68" s="1">
        <f t="shared" si="1"/>
        <v>57</v>
      </c>
      <c r="B68" s="1">
        <v>3</v>
      </c>
      <c r="C68" s="1">
        <v>4</v>
      </c>
      <c r="D68" s="1">
        <v>5</v>
      </c>
      <c r="E68" s="1">
        <v>7</v>
      </c>
      <c r="F68" s="5">
        <f t="shared" si="2"/>
        <v>6.5</v>
      </c>
      <c r="G68" s="5">
        <f t="shared" si="3"/>
        <v>5.5</v>
      </c>
      <c r="H68" s="5">
        <f t="shared" si="4"/>
        <v>0.84615384615384615</v>
      </c>
      <c r="I68" s="5">
        <f t="shared" si="5"/>
        <v>44</v>
      </c>
      <c r="J68" s="5">
        <f t="shared" si="6"/>
        <v>39.769230769230766</v>
      </c>
    </row>
    <row r="69" spans="1:10" x14ac:dyDescent="0.45">
      <c r="A69" s="1">
        <f t="shared" si="1"/>
        <v>58</v>
      </c>
      <c r="B69" s="1">
        <v>3</v>
      </c>
      <c r="C69" s="1">
        <v>4</v>
      </c>
      <c r="D69" s="1">
        <v>5</v>
      </c>
      <c r="E69" s="1">
        <v>8</v>
      </c>
      <c r="F69" s="5">
        <f t="shared" si="2"/>
        <v>6</v>
      </c>
      <c r="G69" s="5">
        <f t="shared" si="3"/>
        <v>5.75</v>
      </c>
      <c r="H69" s="5">
        <f t="shared" si="4"/>
        <v>0.95833333333333337</v>
      </c>
      <c r="I69" s="5">
        <f t="shared" si="5"/>
        <v>46</v>
      </c>
      <c r="J69" s="5">
        <f t="shared" si="6"/>
        <v>45.041666666666664</v>
      </c>
    </row>
    <row r="70" spans="1:10" x14ac:dyDescent="0.45">
      <c r="A70" s="1">
        <f t="shared" si="1"/>
        <v>59</v>
      </c>
      <c r="B70" s="1">
        <v>3</v>
      </c>
      <c r="C70" s="1">
        <v>4</v>
      </c>
      <c r="D70" s="1">
        <v>6</v>
      </c>
      <c r="E70" s="1">
        <v>7</v>
      </c>
      <c r="F70" s="5">
        <f t="shared" si="2"/>
        <v>6.25</v>
      </c>
      <c r="G70" s="5">
        <f t="shared" si="3"/>
        <v>5.5</v>
      </c>
      <c r="H70" s="5">
        <f t="shared" si="4"/>
        <v>0.88</v>
      </c>
      <c r="I70" s="5">
        <f t="shared" si="5"/>
        <v>44</v>
      </c>
      <c r="J70" s="5">
        <f t="shared" si="6"/>
        <v>41.36</v>
      </c>
    </row>
    <row r="71" spans="1:10" x14ac:dyDescent="0.45">
      <c r="A71" s="1">
        <f t="shared" si="1"/>
        <v>60</v>
      </c>
      <c r="B71" s="1">
        <v>3</v>
      </c>
      <c r="C71" s="1">
        <v>4</v>
      </c>
      <c r="D71" s="1">
        <v>6</v>
      </c>
      <c r="E71" s="1">
        <v>8</v>
      </c>
      <c r="F71" s="5">
        <f t="shared" si="2"/>
        <v>5.75</v>
      </c>
      <c r="G71" s="5">
        <f t="shared" si="3"/>
        <v>5.75</v>
      </c>
      <c r="H71" s="5">
        <f t="shared" si="4"/>
        <v>1</v>
      </c>
      <c r="I71" s="5">
        <f t="shared" si="5"/>
        <v>46</v>
      </c>
      <c r="J71" s="5">
        <f t="shared" si="6"/>
        <v>47.000000000000007</v>
      </c>
    </row>
    <row r="72" spans="1:10" x14ac:dyDescent="0.45">
      <c r="A72" s="1">
        <f t="shared" si="1"/>
        <v>61</v>
      </c>
      <c r="B72" s="1">
        <v>3</v>
      </c>
      <c r="C72" s="1">
        <v>4</v>
      </c>
      <c r="D72" s="1">
        <v>7</v>
      </c>
      <c r="E72" s="1">
        <v>8</v>
      </c>
      <c r="F72" s="5">
        <f t="shared" si="2"/>
        <v>5.75</v>
      </c>
      <c r="G72" s="5">
        <f t="shared" si="3"/>
        <v>5.75</v>
      </c>
      <c r="H72" s="5">
        <f t="shared" si="4"/>
        <v>1</v>
      </c>
      <c r="I72" s="5">
        <f t="shared" si="5"/>
        <v>46</v>
      </c>
      <c r="J72" s="5">
        <f t="shared" si="6"/>
        <v>47.000000000000007</v>
      </c>
    </row>
    <row r="73" spans="1:10" x14ac:dyDescent="0.45">
      <c r="A73" s="1">
        <f t="shared" si="1"/>
        <v>62</v>
      </c>
      <c r="B73" s="1">
        <v>3</v>
      </c>
      <c r="C73" s="1">
        <v>5</v>
      </c>
      <c r="D73" s="1">
        <v>6</v>
      </c>
      <c r="E73" s="1">
        <v>7</v>
      </c>
      <c r="F73" s="5">
        <f t="shared" si="2"/>
        <v>6.75</v>
      </c>
      <c r="G73" s="5">
        <f t="shared" si="3"/>
        <v>6.25</v>
      </c>
      <c r="H73" s="5">
        <f t="shared" si="4"/>
        <v>0.92592592592592593</v>
      </c>
      <c r="I73" s="5">
        <f t="shared" si="5"/>
        <v>50</v>
      </c>
      <c r="J73" s="5">
        <f t="shared" si="6"/>
        <v>43.518518518518519</v>
      </c>
    </row>
    <row r="74" spans="1:10" x14ac:dyDescent="0.45">
      <c r="A74" s="1">
        <f t="shared" si="1"/>
        <v>63</v>
      </c>
      <c r="B74" s="1">
        <v>3</v>
      </c>
      <c r="C74" s="1">
        <v>5</v>
      </c>
      <c r="D74" s="1">
        <v>6</v>
      </c>
      <c r="E74" s="1">
        <v>8</v>
      </c>
      <c r="F74" s="5">
        <f t="shared" si="2"/>
        <v>6.25</v>
      </c>
      <c r="G74" s="5">
        <f t="shared" si="3"/>
        <v>6.5</v>
      </c>
      <c r="H74" s="5">
        <f t="shared" si="4"/>
        <v>1.04</v>
      </c>
      <c r="I74" s="5">
        <f t="shared" si="5"/>
        <v>52</v>
      </c>
      <c r="J74" s="5">
        <f t="shared" si="6"/>
        <v>48.879999999999995</v>
      </c>
    </row>
    <row r="75" spans="1:10" x14ac:dyDescent="0.45">
      <c r="A75" s="1">
        <f t="shared" si="1"/>
        <v>64</v>
      </c>
      <c r="B75" s="1">
        <v>3</v>
      </c>
      <c r="C75" s="1">
        <v>5</v>
      </c>
      <c r="D75" s="1">
        <v>7</v>
      </c>
      <c r="E75" s="1">
        <v>8</v>
      </c>
      <c r="F75" s="5">
        <f t="shared" si="2"/>
        <v>6.25</v>
      </c>
      <c r="G75" s="5">
        <f t="shared" si="3"/>
        <v>6.5</v>
      </c>
      <c r="H75" s="5">
        <f t="shared" si="4"/>
        <v>1.04</v>
      </c>
      <c r="I75" s="5">
        <f t="shared" si="5"/>
        <v>52</v>
      </c>
      <c r="J75" s="5">
        <f t="shared" si="6"/>
        <v>48.879999999999995</v>
      </c>
    </row>
    <row r="76" spans="1:10" x14ac:dyDescent="0.45">
      <c r="A76" s="1">
        <f t="shared" si="1"/>
        <v>65</v>
      </c>
      <c r="B76" s="1">
        <v>3</v>
      </c>
      <c r="C76" s="1">
        <v>6</v>
      </c>
      <c r="D76" s="1">
        <v>7</v>
      </c>
      <c r="E76" s="1">
        <v>8</v>
      </c>
      <c r="F76" s="5">
        <f t="shared" si="2"/>
        <v>6</v>
      </c>
      <c r="G76" s="5">
        <f t="shared" si="3"/>
        <v>6.5</v>
      </c>
      <c r="H76" s="5">
        <f t="shared" si="4"/>
        <v>1.0833333333333333</v>
      </c>
      <c r="I76" s="5">
        <f t="shared" si="5"/>
        <v>52</v>
      </c>
      <c r="J76" s="5">
        <f t="shared" si="6"/>
        <v>50.916666666666664</v>
      </c>
    </row>
    <row r="77" spans="1:10" x14ac:dyDescent="0.45">
      <c r="A77" s="1">
        <f t="shared" si="1"/>
        <v>66</v>
      </c>
      <c r="B77" s="1">
        <v>4</v>
      </c>
      <c r="C77" s="1">
        <v>5</v>
      </c>
      <c r="D77" s="1">
        <v>6</v>
      </c>
      <c r="E77" s="1">
        <v>7</v>
      </c>
      <c r="F77" s="5">
        <f t="shared" si="2"/>
        <v>7</v>
      </c>
      <c r="G77" s="5">
        <f t="shared" si="3"/>
        <v>6.25</v>
      </c>
      <c r="H77" s="5">
        <f t="shared" si="4"/>
        <v>0.8928571428571429</v>
      </c>
      <c r="I77" s="5">
        <f t="shared" si="5"/>
        <v>50</v>
      </c>
      <c r="J77" s="5">
        <f t="shared" si="6"/>
        <v>41.964285714285715</v>
      </c>
    </row>
    <row r="78" spans="1:10" x14ac:dyDescent="0.45">
      <c r="A78" s="1">
        <f t="shared" ref="A78:A81" si="7">A77+1</f>
        <v>67</v>
      </c>
      <c r="B78" s="1">
        <v>4</v>
      </c>
      <c r="C78" s="1">
        <v>5</v>
      </c>
      <c r="D78" s="1">
        <v>6</v>
      </c>
      <c r="E78" s="1">
        <v>8</v>
      </c>
      <c r="F78" s="5">
        <f>AVERAGE(VLOOKUP(B78,$A$2:$B$9,2,FALSE),VLOOKUP(C78,$A$2:$B$9,2,FALSE),VLOOKUP(D78,$A$2:$B$9,2,FALSE),VLOOKUP(E78,$A$2:$B$9,2,FALSE))</f>
        <v>6.5</v>
      </c>
      <c r="G78" s="5">
        <f>AVERAGE(VLOOKUP(B78,$A$2:$C$9,3,FALSE),VLOOKUP(C78,$A$2:$C$9,3,FALSE),VLOOKUP(D78,$A$2:$C$9,3,FALSE),VLOOKUP(E78,$A$2:$C$9,3,FALSE))</f>
        <v>6.5</v>
      </c>
      <c r="H78" s="5">
        <f>G78/F78</f>
        <v>1</v>
      </c>
      <c r="I78" s="5">
        <f>$F$2*G78</f>
        <v>52</v>
      </c>
      <c r="J78" s="5">
        <f>G78*($F$3/F78)</f>
        <v>47</v>
      </c>
    </row>
    <row r="79" spans="1:10" x14ac:dyDescent="0.45">
      <c r="A79" s="1">
        <f t="shared" si="7"/>
        <v>68</v>
      </c>
      <c r="B79" s="1">
        <v>4</v>
      </c>
      <c r="C79" s="1">
        <v>5</v>
      </c>
      <c r="D79" s="1">
        <v>7</v>
      </c>
      <c r="E79" s="1">
        <v>8</v>
      </c>
      <c r="F79" s="5">
        <f>AVERAGE(VLOOKUP(B79,$A$2:$B$9,2,FALSE),VLOOKUP(C79,$A$2:$B$9,2,FALSE),VLOOKUP(D79,$A$2:$B$9,2,FALSE),VLOOKUP(E79,$A$2:$B$9,2,FALSE))</f>
        <v>6.5</v>
      </c>
      <c r="G79" s="5">
        <f>AVERAGE(VLOOKUP(B79,$A$2:$C$9,3,FALSE),VLOOKUP(C79,$A$2:$C$9,3,FALSE),VLOOKUP(D79,$A$2:$C$9,3,FALSE),VLOOKUP(E79,$A$2:$C$9,3,FALSE))</f>
        <v>6.5</v>
      </c>
      <c r="H79" s="5">
        <f>G79/F79</f>
        <v>1</v>
      </c>
      <c r="I79" s="5">
        <f>$F$2*G79</f>
        <v>52</v>
      </c>
      <c r="J79" s="5">
        <f>G79*($F$3/F79)</f>
        <v>47</v>
      </c>
    </row>
    <row r="80" spans="1:10" x14ac:dyDescent="0.45">
      <c r="A80" s="1">
        <f t="shared" si="7"/>
        <v>69</v>
      </c>
      <c r="B80" s="1">
        <v>4</v>
      </c>
      <c r="C80" s="1">
        <v>6</v>
      </c>
      <c r="D80" s="1">
        <v>7</v>
      </c>
      <c r="E80" s="1">
        <v>8</v>
      </c>
      <c r="F80" s="5">
        <f>AVERAGE(VLOOKUP(B80,$A$2:$B$9,2,FALSE),VLOOKUP(C80,$A$2:$B$9,2,FALSE),VLOOKUP(D80,$A$2:$B$9,2,FALSE),VLOOKUP(E80,$A$2:$B$9,2,FALSE))</f>
        <v>6.25</v>
      </c>
      <c r="G80" s="5">
        <f>AVERAGE(VLOOKUP(B80,$A$2:$C$9,3,FALSE),VLOOKUP(C80,$A$2:$C$9,3,FALSE),VLOOKUP(D80,$A$2:$C$9,3,FALSE),VLOOKUP(E80,$A$2:$C$9,3,FALSE))</f>
        <v>6.5</v>
      </c>
      <c r="H80" s="5">
        <f>G80/F80</f>
        <v>1.04</v>
      </c>
      <c r="I80" s="5">
        <f>$F$2*G80</f>
        <v>52</v>
      </c>
      <c r="J80" s="5">
        <f>G80*($F$3/F80)</f>
        <v>48.879999999999995</v>
      </c>
    </row>
    <row r="81" spans="1:10" x14ac:dyDescent="0.45">
      <c r="A81" s="1">
        <f t="shared" si="7"/>
        <v>70</v>
      </c>
      <c r="B81" s="1">
        <v>5</v>
      </c>
      <c r="C81" s="1">
        <v>6</v>
      </c>
      <c r="D81" s="1">
        <v>7</v>
      </c>
      <c r="E81" s="1">
        <v>8</v>
      </c>
      <c r="F81" s="5">
        <f>AVERAGE(VLOOKUP(B81,$A$2:$B$9,2,FALSE),VLOOKUP(C81,$A$2:$B$9,2,FALSE),VLOOKUP(D81,$A$2:$B$9,2,FALSE),VLOOKUP(E81,$A$2:$B$9,2,FALSE))</f>
        <v>6.75</v>
      </c>
      <c r="G81" s="5">
        <f>AVERAGE(VLOOKUP(B81,$A$2:$C$9,3,FALSE),VLOOKUP(C81,$A$2:$C$9,3,FALSE),VLOOKUP(D81,$A$2:$C$9,3,FALSE),VLOOKUP(E81,$A$2:$C$9,3,FALSE))</f>
        <v>7.25</v>
      </c>
      <c r="H81" s="5">
        <f>G81/F81</f>
        <v>1.0740740740740742</v>
      </c>
      <c r="I81" s="5">
        <f>$F$2*G81</f>
        <v>58</v>
      </c>
      <c r="J81" s="5">
        <f>G81*($F$3/F81)</f>
        <v>50.481481481481481</v>
      </c>
    </row>
    <row r="82" spans="1:10" s="2" customFormat="1" x14ac:dyDescent="0.45">
      <c r="A82" s="2" t="s">
        <v>20</v>
      </c>
      <c r="H82" s="7">
        <f>AVERAGE(H12:H81)</f>
        <v>0.84788571127636181</v>
      </c>
      <c r="J82" s="7">
        <f>AVERAGE(J12:J81)</f>
        <v>39.850628429989008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2017-05-17T10:44:58Z</dcterms:created>
  <dcterms:modified xsi:type="dcterms:W3CDTF">2017-05-17T11:54:23Z</dcterms:modified>
</cp:coreProperties>
</file>