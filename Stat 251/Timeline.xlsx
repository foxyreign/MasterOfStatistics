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907"/>
  <workbookPr/>
  <mc:AlternateContent xmlns:mc="http://schemas.openxmlformats.org/markup-compatibility/2006">
    <mc:Choice Requires="x15">
      <x15ac:absPath xmlns:x15ac="http://schemas.microsoft.com/office/spreadsheetml/2010/11/ac" url="/Users/Adrian/Downloads/"/>
    </mc:Choice>
  </mc:AlternateContent>
  <bookViews>
    <workbookView xWindow="0" yWindow="460" windowWidth="33600" windowHeight="19420" tabRatio="500" activeTab="4"/>
  </bookViews>
  <sheets>
    <sheet name="Task" sheetId="2" r:id="rId1"/>
    <sheet name="Version Control" sheetId="3" r:id="rId2"/>
    <sheet name="Project Timeline" sheetId="4" state="hidden" r:id="rId3"/>
    <sheet name="Project Plan" sheetId="5" r:id="rId4"/>
    <sheet name="Proposed Project Plan" sheetId="6" r:id="rId5"/>
    <sheet name="Legend" sheetId="1" r:id="rId6"/>
  </sheets>
  <definedNames>
    <definedName name="_xlnm._FilterDatabase" localSheetId="0" hidden="1">Task!$A$1:$S$112</definedName>
    <definedName name="Actual" localSheetId="3">('Project Plan'!PeriodInActual*('Project Plan'!$E1&gt;0))*'Project Plan'!PeriodInPlan</definedName>
    <definedName name="Actual" localSheetId="4">('Proposed Project Plan'!PeriodInActual*('Proposed Project Plan'!$E1&gt;0))*'Proposed Project Plan'!PeriodInPlan</definedName>
    <definedName name="Actual">(PeriodInActual*('Project Timeline'!$E1&gt;0))*PeriodInPlan</definedName>
    <definedName name="ActualBeyond" localSheetId="3">'Project Plan'!PeriodInActual*('Project Plan'!$E1&gt;0)</definedName>
    <definedName name="ActualBeyond" localSheetId="4">'Proposed Project Plan'!PeriodInActual*('Proposed Project Plan'!$E1&gt;0)</definedName>
    <definedName name="ActualBeyond">PeriodInActual*('Project Timeline'!$E1&gt;0)</definedName>
    <definedName name="PercentComplete" localSheetId="3">'Project Plan'!PercentCompleteBeyond*'Project Plan'!PeriodInPlan</definedName>
    <definedName name="PercentComplete" localSheetId="4">'Proposed Project Plan'!PercentCompleteBeyond*'Proposed Project Plan'!PeriodInPlan</definedName>
    <definedName name="PercentComplete">PercentCompleteBeyond*PeriodInPlan</definedName>
    <definedName name="PercentCompleteBeyond" localSheetId="3">('Project Plan'!A$8=MEDIAN('Project Plan'!A$8,'Project Plan'!$E1,'Project Plan'!$E1+'Project Plan'!$F1)*('Project Plan'!$E1&gt;0))*(('Project Plan'!A$8&lt;(INT('Project Plan'!$E1+'Project Plan'!$F1*'Project Plan'!#REF!)))+('Project Plan'!A$8='Project Plan'!$E1))*('Project Plan'!#REF!&gt;0)</definedName>
    <definedName name="PercentCompleteBeyond" localSheetId="4">('Proposed Project Plan'!A$8=MEDIAN('Proposed Project Plan'!A$8,'Proposed Project Plan'!$E1,'Proposed Project Plan'!$E1+'Proposed Project Plan'!$F1)*('Proposed Project Plan'!$E1&gt;0))*(('Proposed Project Plan'!A$8&lt;(INT('Proposed Project Plan'!$E1+'Proposed Project Plan'!$F1*'Proposed Project Plan'!#REF!)))+('Proposed Project Plan'!A$8='Proposed Project Plan'!$E1))*('Proposed Project Plan'!#REF!&gt;0)</definedName>
    <definedName name="PercentCompleteBeyond">('Project Timeline'!A$8=MEDIAN('Project Timeline'!A$8,'Project Timeline'!$E1,'Project Timeline'!$E1+'Project Timeline'!$F1)*('Project Timeline'!$E1&gt;0))*(('Project Timeline'!A$8&lt;(INT('Project Timeline'!$E1+'Project Timeline'!$F1*'Project Timeline'!$G1)))+('Project Timeline'!A$8='Project Timeline'!$E1))*('Project Timeline'!$G1&gt;0)</definedName>
    <definedName name="period_selected" localSheetId="3">'Project Plan'!$M$3</definedName>
    <definedName name="period_selected" localSheetId="4">'Proposed Project Plan'!$L$3</definedName>
    <definedName name="period_selected">'Project Timeline'!$N$3</definedName>
    <definedName name="PeriodInActual" localSheetId="3">'Project Plan'!A$8=MEDIAN('Project Plan'!A$8,'Project Plan'!$E1,'Project Plan'!$E1+'Project Plan'!$F1-1)</definedName>
    <definedName name="PeriodInActual" localSheetId="4">'Proposed Project Plan'!A$8=MEDIAN('Proposed Project Plan'!A$8,'Proposed Project Plan'!$E1,'Proposed Project Plan'!$E1+'Proposed Project Plan'!$F1-1)</definedName>
    <definedName name="PeriodInActual">'Project Timeline'!A$8=MEDIAN('Project Timeline'!A$8,'Project Timeline'!$E1,'Project Timeline'!$E1+'Project Timeline'!$F1-1)</definedName>
    <definedName name="PeriodInPlan" localSheetId="3">'Project Plan'!A$8=MEDIAN('Project Plan'!A$8,'Project Plan'!$C1,'Project Plan'!$C1+'Project Plan'!$D1-1)</definedName>
    <definedName name="PeriodInPlan" localSheetId="4">'Proposed Project Plan'!A$8=MEDIAN('Proposed Project Plan'!A$8,'Proposed Project Plan'!$C1,'Proposed Project Plan'!$C1+'Proposed Project Plan'!$D1-1)</definedName>
    <definedName name="PeriodInPlan">'Project Timeline'!A$8=MEDIAN('Project Timeline'!A$8,'Project Timeline'!$C1,'Project Timeline'!$C1+'Project Timeline'!$D1-1)</definedName>
    <definedName name="Plan" localSheetId="3">'Project Plan'!PeriodInPlan*('Project Plan'!$C1&gt;0)</definedName>
    <definedName name="Plan" localSheetId="4">'Proposed Project Plan'!PeriodInPlan*('Proposed Project Plan'!$C1&gt;0)</definedName>
    <definedName name="Plan">PeriodInPlan*('Project Timeline'!$C1&gt;0)</definedName>
  </definedNames>
  <calcPr calcId="150001" calcMode="manual"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H7" i="6" l="1"/>
  <c r="I7" i="6"/>
  <c r="J7" i="6"/>
  <c r="K7" i="6"/>
  <c r="L7" i="6"/>
  <c r="M7" i="6"/>
  <c r="N7" i="6"/>
  <c r="O7" i="6"/>
  <c r="P7" i="6"/>
  <c r="Q7" i="6"/>
  <c r="R7" i="6"/>
  <c r="S7" i="6"/>
  <c r="T7" i="6"/>
  <c r="U7" i="6"/>
  <c r="V7" i="6"/>
  <c r="W7" i="6"/>
  <c r="X7" i="6"/>
  <c r="Y7" i="6"/>
  <c r="Z7" i="6"/>
  <c r="AA7" i="6"/>
  <c r="AB7" i="6"/>
  <c r="AC7" i="6"/>
  <c r="AD7" i="6"/>
  <c r="AE7" i="6"/>
  <c r="AF7" i="6"/>
  <c r="AG7" i="6"/>
  <c r="AH7" i="6"/>
  <c r="AI7" i="6"/>
  <c r="AJ7" i="6"/>
  <c r="AK7" i="6"/>
  <c r="I7" i="5"/>
  <c r="J7" i="5"/>
  <c r="K7" i="5"/>
  <c r="L7" i="5"/>
  <c r="M7" i="5"/>
  <c r="N7" i="5"/>
  <c r="O7" i="5"/>
  <c r="P7" i="5"/>
  <c r="Q7" i="5"/>
  <c r="R7" i="5"/>
  <c r="S7" i="5"/>
  <c r="T7" i="5"/>
  <c r="U7" i="5"/>
  <c r="V7" i="5"/>
  <c r="W7" i="5"/>
  <c r="X7" i="5"/>
  <c r="Y7" i="5"/>
  <c r="Z7" i="5"/>
  <c r="AA7" i="5"/>
  <c r="AB7" i="5"/>
  <c r="AC7" i="5"/>
  <c r="AD7" i="5"/>
  <c r="AE7" i="5"/>
  <c r="AF7" i="5"/>
  <c r="AG7" i="5"/>
  <c r="AH7" i="5"/>
  <c r="J7" i="4"/>
  <c r="K7" i="4"/>
  <c r="L7" i="4"/>
  <c r="M7" i="4"/>
  <c r="N7" i="4"/>
  <c r="O7" i="4"/>
  <c r="P7" i="4"/>
  <c r="Q7" i="4"/>
  <c r="R7" i="4"/>
  <c r="S7" i="4"/>
  <c r="T7" i="4"/>
  <c r="U7" i="4"/>
  <c r="V7" i="4"/>
  <c r="W7" i="4"/>
  <c r="X7" i="4"/>
  <c r="Y7" i="4"/>
  <c r="Z7" i="4"/>
  <c r="AA7" i="4"/>
  <c r="AB7" i="4"/>
  <c r="AC7" i="4"/>
  <c r="AD7" i="4"/>
</calcChain>
</file>

<file path=xl/sharedStrings.xml><?xml version="1.0" encoding="utf-8"?>
<sst xmlns="http://schemas.openxmlformats.org/spreadsheetml/2006/main" count="955" uniqueCount="388">
  <si>
    <t>Data</t>
  </si>
  <si>
    <t>Documentation</t>
  </si>
  <si>
    <t>Type</t>
  </si>
  <si>
    <t>Request</t>
  </si>
  <si>
    <t>Comment</t>
  </si>
  <si>
    <t>Clarification</t>
  </si>
  <si>
    <t>OTARIE</t>
  </si>
  <si>
    <t>KPI level data for the same period as event level data</t>
  </si>
  <si>
    <t>QOE level data for the same period</t>
  </si>
  <si>
    <t>Subscriber</t>
  </si>
  <si>
    <t>Why are only 54% of the records populated with IMEI in the subscriber table?</t>
  </si>
  <si>
    <t>Marketing zone</t>
  </si>
  <si>
    <t>Look up tables - subscriber information, recent data</t>
  </si>
  <si>
    <t>Look up tables - cellsite information, recent data</t>
  </si>
  <si>
    <t>geographical mapping, manufacturer, type</t>
  </si>
  <si>
    <t>Look up tables - geographic, recent data</t>
  </si>
  <si>
    <t>Data defintion CIGALE</t>
  </si>
  <si>
    <t>Data defintion OTARIE</t>
  </si>
  <si>
    <t>Clear code documentation of the relevant network elements</t>
  </si>
  <si>
    <t>Data definition KPIs</t>
  </si>
  <si>
    <t>Data definition QOE</t>
  </si>
  <si>
    <t>Documentation of QOE hierarchy from Sofrecom</t>
  </si>
  <si>
    <t>Look up tables - handset database</t>
  </si>
  <si>
    <t>Is it possible to map additional handset information, ie such as supported technology, model category, etc.</t>
  </si>
  <si>
    <t>Look up tables - subscriber information documentation</t>
  </si>
  <si>
    <t>Look up tables - cellsite information documentation</t>
  </si>
  <si>
    <t>Look up tables - geographic documentation</t>
  </si>
  <si>
    <t>Look up tables - handset database documentation</t>
  </si>
  <si>
    <t>IT infrastructure</t>
  </si>
  <si>
    <t>Ability to create CSV files on the server</t>
  </si>
  <si>
    <t>Shall we improve the current security approach?</t>
  </si>
  <si>
    <t>e.g. VNC</t>
  </si>
  <si>
    <t>How to change passwords?</t>
  </si>
  <si>
    <t>VPN, SSH, MySQL</t>
  </si>
  <si>
    <t>Additional user account for Adrian (MAC user)</t>
  </si>
  <si>
    <t>What RAM allocation does the server for the project have?</t>
  </si>
  <si>
    <t>What storage capacity does the server for the project have?</t>
  </si>
  <si>
    <t>Scheduled downtime?</t>
  </si>
  <si>
    <t>Point person / project manager for this project from Etancesys</t>
  </si>
  <si>
    <t>IT contact person</t>
  </si>
  <si>
    <t>Sofrecom contact person</t>
  </si>
  <si>
    <t>Project Management</t>
  </si>
  <si>
    <t>General availability</t>
  </si>
  <si>
    <t>Regular project meeting schedule</t>
  </si>
  <si>
    <t>Weekly calls for 1st month, afterwards bi-monthly, monthly with Laurent</t>
  </si>
  <si>
    <t>SQL script for KPIs and QOE</t>
  </si>
  <si>
    <t>Export from requestor, possible? Used for indicator classification map dataset</t>
  </si>
  <si>
    <t>Task / Element</t>
  </si>
  <si>
    <t>Priority</t>
  </si>
  <si>
    <t>Status</t>
  </si>
  <si>
    <t>How is event level data for data events retained?</t>
  </si>
  <si>
    <t>High</t>
  </si>
  <si>
    <t>Category</t>
  </si>
  <si>
    <t>Low</t>
  </si>
  <si>
    <t>Medium</t>
  </si>
  <si>
    <t>Not Started</t>
  </si>
  <si>
    <t>In Progress</t>
  </si>
  <si>
    <t>On Hold</t>
  </si>
  <si>
    <t>Completed</t>
  </si>
  <si>
    <t>Cancelled</t>
  </si>
  <si>
    <t>Overdue</t>
  </si>
  <si>
    <t>Version Number</t>
  </si>
  <si>
    <t>Date</t>
  </si>
  <si>
    <t>Changes</t>
  </si>
  <si>
    <t>Created Check list</t>
  </si>
  <si>
    <t>Added feedback from the meeting column and appended feedback</t>
  </si>
  <si>
    <t>Clarifications will be provided by Alban on next week's meeting on Wed, Oct 19</t>
  </si>
  <si>
    <t>Handset info is collected from customer care. On next release, Karim is planning to capture the handset info from the probe</t>
  </si>
  <si>
    <t>There's not much documentation but most of the columns are self-explanatory</t>
  </si>
  <si>
    <t>Peritus to backup data to the test database</t>
  </si>
  <si>
    <t>Mustafa will send OTARIE sample data</t>
  </si>
  <si>
    <t>Will be clarified later</t>
  </si>
  <si>
    <t>File is created daily but not uploaded regularly</t>
  </si>
  <si>
    <t>Refer to OSIRIS_PARAMS</t>
  </si>
  <si>
    <t>Not available</t>
  </si>
  <si>
    <t>No</t>
  </si>
  <si>
    <t>Yes. Alban will provide SQL table and clarifications next week</t>
  </si>
  <si>
    <t>Bertrand is the contact person</t>
  </si>
  <si>
    <t>Possible but complex approach, estimations of zone are available but not the labeling</t>
  </si>
  <si>
    <t>Bertrand</t>
  </si>
  <si>
    <t>Karim can do bi-monthly meeting the most</t>
  </si>
  <si>
    <t>Responsible</t>
  </si>
  <si>
    <t>Currently in progress of backing up data to make a static sample dataset</t>
  </si>
  <si>
    <t>Jovan will send email to followup with Karim</t>
  </si>
  <si>
    <t>Done</t>
  </si>
  <si>
    <t>Check subscriber table when it is updated</t>
  </si>
  <si>
    <t>Adrian</t>
  </si>
  <si>
    <t>Create structure how to handle subscriber history table</t>
  </si>
  <si>
    <t>Data collection report - metadata for the tables</t>
  </si>
  <si>
    <t>Inventory of what we have in the test table</t>
  </si>
  <si>
    <t>Create process flow from table &gt; join &gt; load to R &gt; transform &gt; save R object</t>
  </si>
  <si>
    <t>Review translation of data definition</t>
  </si>
  <si>
    <t>Draft the storyboard for the steerico</t>
  </si>
  <si>
    <t>Create project plan for the next 2 weeks</t>
  </si>
  <si>
    <t>Added new tasks and created focus for next meeting</t>
  </si>
  <si>
    <t>Adrian / Rowen</t>
  </si>
  <si>
    <t>Jovan</t>
  </si>
  <si>
    <t>Task</t>
  </si>
  <si>
    <t>Rowen</t>
  </si>
  <si>
    <t>Next Checkpoint</t>
  </si>
  <si>
    <t>Phase</t>
  </si>
  <si>
    <t>Feedback from Meeting (Oct 12)</t>
  </si>
  <si>
    <t>Focus for the Meeting (Oct 19)</t>
  </si>
  <si>
    <t>Followup call today where are the tables?</t>
  </si>
  <si>
    <t>Received sofrecome data definition but need to verify on the call</t>
  </si>
  <si>
    <t>Full access to MySQL server (backup if RMySQL still cannot connect to DB engine)</t>
  </si>
  <si>
    <t>Timeline data request (OTARIE)</t>
  </si>
  <si>
    <t>Timeline data documentation request (OTARIE)</t>
  </si>
  <si>
    <t>Rename test DB to Peritus_Landing</t>
  </si>
  <si>
    <t>Connection from R to local MariaDB worked. It worked with MariaDB server based once so we have ruled out that it is the access/connection issue. Can we add exception so that R can connect to MariaDB?</t>
  </si>
  <si>
    <t>What's are the differences among the duplicate columns per category in AQO?</t>
  </si>
  <si>
    <t>Why are some of the variables still not renamed based on the new naming convention from the Objects Query Mapping</t>
  </si>
  <si>
    <t>Export DB and table overview</t>
  </si>
  <si>
    <t>Added new tasks, removed number column</t>
  </si>
  <si>
    <t>Feedback from Meeting (Oct 21)</t>
  </si>
  <si>
    <t xml:space="preserve">Alban will look into it. </t>
  </si>
  <si>
    <t>Create DB: Peritus_Transform and Peritus_Develop</t>
  </si>
  <si>
    <t>Will create 3 databases</t>
  </si>
  <si>
    <t>The duplicate variables are stored in different tables, the calcualtion are the same but aggregated differently. Alban will send the table that has the calculation. The aggregation are based on the Axis of Analysis table</t>
  </si>
  <si>
    <t>Theres an aggregation from the encode_histo_cols_agreg. Theres an additional code that aggregates into a higher KPI calculation into another table. Alban doesn’t know the rules how to create the table. The files from OTARIE are logged into the table without transformation. All KPIs are from mix of OTARIE and CIGALE already.</t>
  </si>
  <si>
    <t>Python could still be there, Karim's team uses Java and C. Peritus will look into exploratory package we can use based on those languages. ETL will still have to stay low-level. No perl</t>
  </si>
  <si>
    <t>encode_histo_cols_agreg_***. The lowest level is already this table. If the KPI is 0, it wont be in the table anymore. The rows are aggregated by the hour. The last CI of the call is recorded. He will call Mustafa to verify. Peritus will reach out to Mustapha</t>
  </si>
  <si>
    <t>Jan will reach out to Jao to create the user</t>
  </si>
  <si>
    <t xml:space="preserve">Alban will check it. Jovan will send an email to followup. In Tunisia, they're using 1.1 and soon will use 1.2 soon. Ignore 1.5. In 1.2 theres a table that contains all the definition, also that the names are changed. If Mali decides to migrate to cloud, they will migrate to 1.2 in a month or so. Karim will build a small sample based on Tunisia. Alban will build either 1M of subscribers for 2 weeks of data or 4M of scubscribers for 1 week. Sometime midnext week, he will provide sample data with all details. </t>
  </si>
  <si>
    <t>Where in the DS process where the KQI, QOE are calculated?</t>
  </si>
  <si>
    <t>Data collection report template</t>
  </si>
  <si>
    <t>Created Land instead</t>
  </si>
  <si>
    <t>Alban</t>
  </si>
  <si>
    <t>Is the qoe_rules the right table?</t>
  </si>
  <si>
    <t>There's no calculation from event level to aggregated on KPI. What's the implication?</t>
  </si>
  <si>
    <t>Still waiting for the data definition for each column</t>
  </si>
  <si>
    <t>Karim / Alban</t>
  </si>
  <si>
    <t>Rowen will test perl and will look for alternative ETL that runs under perl</t>
  </si>
  <si>
    <t>Does the event level data contain the full population of subscriber or just a sample of 2M?</t>
  </si>
  <si>
    <t>Waiting for v1.2</t>
  </si>
  <si>
    <t>Resolution</t>
  </si>
  <si>
    <t>Added resolution column</t>
  </si>
  <si>
    <t>OTARIE event level is stored in calls_details and calls_details3g</t>
  </si>
  <si>
    <t>Stored in tun.qoe_rules</t>
  </si>
  <si>
    <t>Imported directly into cem database without transformation; not derived from CEM events level database</t>
  </si>
  <si>
    <t>Created data inventory and collection report template</t>
  </si>
  <si>
    <t>Dependent on data inventory and collection report template</t>
  </si>
  <si>
    <t>Replaced by #58</t>
  </si>
  <si>
    <t>Waiting for access from R to MariaDB</t>
  </si>
  <si>
    <t>Peritus</t>
  </si>
  <si>
    <t>Will not use Mali</t>
  </si>
  <si>
    <t>Inventory of what we have in the tun and cem_cpt tables</t>
  </si>
  <si>
    <t>Modified tasks</t>
  </si>
  <si>
    <t>No data yet for calls_details_gprs, reference tables for handset, area, cellsites, lstci and other histo_agreg tables</t>
  </si>
  <si>
    <t>Data definition v1.2</t>
  </si>
  <si>
    <t>Karim</t>
  </si>
  <si>
    <t>Dependency on #57 - Extract blob</t>
  </si>
  <si>
    <t>Project Planner</t>
  </si>
  <si>
    <t xml:space="preserve"> Period Highlight:</t>
  </si>
  <si>
    <t>Plan</t>
  </si>
  <si>
    <t>Actual</t>
  </si>
  <si>
    <r>
      <rPr>
        <sz val="12"/>
        <color theme="1" tint="0.24994659260841701"/>
        <rFont val="Calibri"/>
        <family val="2"/>
      </rPr>
      <t>%</t>
    </r>
    <r>
      <rPr>
        <sz val="12"/>
        <color theme="1"/>
        <rFont val="Calibri"/>
        <family val="2"/>
        <scheme val="minor"/>
      </rPr>
      <t xml:space="preserve"> </t>
    </r>
    <r>
      <rPr>
        <sz val="12"/>
        <color theme="1" tint="0.24994659260841701"/>
        <rFont val="Calibri"/>
        <family val="2"/>
      </rPr>
      <t>Complete</t>
    </r>
  </si>
  <si>
    <r>
      <rPr>
        <sz val="12"/>
        <color theme="1" tint="0.24994659260841701"/>
        <rFont val="Calibri"/>
        <family val="2"/>
      </rPr>
      <t>Actual (beyond plan</t>
    </r>
    <r>
      <rPr>
        <sz val="12"/>
        <color theme="1"/>
        <rFont val="Calibri"/>
        <family val="2"/>
        <scheme val="minor"/>
      </rPr>
      <t>)</t>
    </r>
  </si>
  <si>
    <r>
      <rPr>
        <sz val="12"/>
        <color theme="1" tint="0.24994659260841701"/>
        <rFont val="Calibri"/>
        <family val="2"/>
      </rPr>
      <t>%</t>
    </r>
    <r>
      <rPr>
        <sz val="12"/>
        <color theme="1"/>
        <rFont val="Calibri"/>
        <family val="2"/>
        <scheme val="minor"/>
      </rPr>
      <t xml:space="preserve"> </t>
    </r>
    <r>
      <rPr>
        <sz val="12"/>
        <color theme="1" tint="0.24994659260841701"/>
        <rFont val="Calibri"/>
        <family val="2"/>
      </rPr>
      <t>Complete (beyond plan)</t>
    </r>
  </si>
  <si>
    <t>PLAN</t>
  </si>
  <si>
    <t>ACTUAL</t>
  </si>
  <si>
    <t>PERCENT</t>
  </si>
  <si>
    <t>ACTIVITY</t>
  </si>
  <si>
    <t>START</t>
  </si>
  <si>
    <t>DURATION</t>
  </si>
  <si>
    <t>COMPLETE</t>
  </si>
  <si>
    <t>Done creating 3 DBs</t>
  </si>
  <si>
    <t>Etancesys</t>
  </si>
  <si>
    <t>tun.qoe_rules table was created which contains the rules for QOE. KPIs are not available because the calculation are done externally</t>
  </si>
  <si>
    <t>Met with Mustapha on Oct 24 and filled out the description of all the tables from cem_oml, cem_cpt, tun</t>
  </si>
  <si>
    <t>Giao</t>
  </si>
  <si>
    <t xml:space="preserve">VPN, SSH, MySQL; including RW access to the shared folder. Jan sent email to Giao on week Oct 24 to </t>
  </si>
  <si>
    <t>Task ID</t>
  </si>
  <si>
    <t>Issue ID</t>
  </si>
  <si>
    <t>Create weekly project status report</t>
  </si>
  <si>
    <t>Create issue tracker template</t>
  </si>
  <si>
    <t>Added Task ID, Issue ID columns in Task tab. Added Issue tracker tab</t>
  </si>
  <si>
    <t>Potentially, MySQL configuration is missing  in the server</t>
  </si>
  <si>
    <t>Email has been sent to Giao</t>
  </si>
  <si>
    <t>How to handle software requirements, i.e.: PERL, exploratory.io</t>
  </si>
  <si>
    <t>Does the event level data contain the full population of subscriber or just a sample of 2M? Complete event level data for 2 weeks for all products.</t>
  </si>
  <si>
    <t>Identify KPI QOE table in cem_oml a sampler request for tun</t>
  </si>
  <si>
    <t>Verify if ref_cause is also applicable for tun</t>
  </si>
  <si>
    <t>Dependency on #68 - ref_cause</t>
  </si>
  <si>
    <t>Is OTARIE also included in tun event level data</t>
  </si>
  <si>
    <t>Alban and Giao</t>
  </si>
  <si>
    <t>Probe/osiris expert contact</t>
  </si>
  <si>
    <t>Set meeting with Bertrand</t>
  </si>
  <si>
    <t>Grant full access rights to tables in Peritus DBs</t>
  </si>
  <si>
    <t>Identify lookup fields for data transformation</t>
  </si>
  <si>
    <t>Will discuss on Oct26</t>
  </si>
  <si>
    <t>Data exploration</t>
  </si>
  <si>
    <t>Decide on analysis of axis for hierachy reconciliation, request for missing tables</t>
  </si>
  <si>
    <t>Request for SQL procedure to extract BLOB</t>
  </si>
  <si>
    <t>Draft data quality report</t>
  </si>
  <si>
    <t>Finalize data collection report</t>
  </si>
  <si>
    <t>Look for hierarchy mapping tool</t>
  </si>
  <si>
    <t>Can connect to MariaDB using R via local computer</t>
  </si>
  <si>
    <t>Waiting for Bertrand</t>
  </si>
  <si>
    <t>KPIs list are different</t>
  </si>
  <si>
    <t>Both databases have 50% unused ref_cause. Alban will load the error codes</t>
  </si>
  <si>
    <t>Emailed Karim</t>
  </si>
  <si>
    <t>Visio to visualise hierarchy</t>
  </si>
  <si>
    <t>available RAM on R is 60+ GB</t>
  </si>
  <si>
    <t>31/11/2016</t>
  </si>
  <si>
    <t>Was able to access MariaDB from R. Uses land, dev and trans database</t>
  </si>
  <si>
    <t>Expanded tun histo_cols_agreg blob into wide format</t>
  </si>
  <si>
    <t>monthly aggregated tables are not yet populated</t>
  </si>
  <si>
    <t>Adrian / Jeffrey</t>
  </si>
  <si>
    <t>Looked into reference table that can be used for lookup with the event level tables</t>
  </si>
  <si>
    <t>Used information schema on tun database</t>
  </si>
  <si>
    <t>Populate summary stats on event level tables (calls_details* and histo_cols_agreg*)</t>
  </si>
  <si>
    <t>Done with calls_details and calls_details3g.</t>
  </si>
  <si>
    <t>Sample 1% of calls_details, calls_details3g and calls_details_gprs for exploratory</t>
  </si>
  <si>
    <t>Issue</t>
  </si>
  <si>
    <t>Aggregated tables only contain data related KPIs; voice and SMS KPIs have no values</t>
  </si>
  <si>
    <t>Business Understanding</t>
  </si>
  <si>
    <t>Data Understanding</t>
  </si>
  <si>
    <t>Project plan</t>
  </si>
  <si>
    <t>Produce data collection report</t>
  </si>
  <si>
    <t>Identify data sources</t>
  </si>
  <si>
    <t>Request for access to data</t>
  </si>
  <si>
    <t>Data Collection and Selection</t>
  </si>
  <si>
    <t>Data Transformation</t>
  </si>
  <si>
    <t>Define table and column definitions</t>
  </si>
  <si>
    <t>Backup source data</t>
  </si>
  <si>
    <t>Join technically correct data</t>
  </si>
  <si>
    <t>Produce data exploration report</t>
  </si>
  <si>
    <t>Compute for summary statistics</t>
  </si>
  <si>
    <t>Look into sub-populations</t>
  </si>
  <si>
    <t>Produce enhanced data definition report</t>
  </si>
  <si>
    <t>Data Cleansing</t>
  </si>
  <si>
    <t>Write the data quality report</t>
  </si>
  <si>
    <t>Apply appropriate cleansing techniques</t>
  </si>
  <si>
    <t>Document cleansing rules</t>
  </si>
  <si>
    <t>Produce final data dictionary</t>
  </si>
  <si>
    <t>Phase 1</t>
  </si>
  <si>
    <t>Phase 2</t>
  </si>
  <si>
    <t>Classification Map</t>
  </si>
  <si>
    <t>Visualize hierarchy</t>
  </si>
  <si>
    <t>Build hierarchy and weights</t>
  </si>
  <si>
    <t>Create dataset</t>
  </si>
  <si>
    <t>Validate data source with data dictionary</t>
  </si>
  <si>
    <t>Complete required access to data</t>
  </si>
  <si>
    <t>Compute summary statistics</t>
  </si>
  <si>
    <t>Look into sub populations</t>
  </si>
  <si>
    <t>Write validation report</t>
  </si>
  <si>
    <t>Data Dictionary and Validation Report</t>
  </si>
  <si>
    <t xml:space="preserve">Transform and clean data </t>
  </si>
  <si>
    <t>Partition data sets</t>
  </si>
  <si>
    <t>Optimize models</t>
  </si>
  <si>
    <r>
      <rPr>
        <sz val="11"/>
        <color theme="1" tint="0.24994659260841701"/>
        <rFont val="Calibri"/>
        <family val="2"/>
      </rPr>
      <t>Actual (beyond plan</t>
    </r>
    <r>
      <rPr>
        <sz val="11"/>
        <color theme="1"/>
        <rFont val="Calibri"/>
        <family val="2"/>
        <scheme val="minor"/>
      </rPr>
      <t>)</t>
    </r>
  </si>
  <si>
    <r>
      <rPr>
        <sz val="11"/>
        <color theme="1" tint="0.24994659260841701"/>
        <rFont val="Calibri"/>
        <family val="2"/>
      </rPr>
      <t>%</t>
    </r>
    <r>
      <rPr>
        <sz val="11"/>
        <color theme="1"/>
        <rFont val="Calibri"/>
        <family val="2"/>
        <scheme val="minor"/>
      </rPr>
      <t xml:space="preserve"> </t>
    </r>
    <r>
      <rPr>
        <sz val="11"/>
        <color theme="1" tint="0.24994659260841701"/>
        <rFont val="Calibri"/>
        <family val="2"/>
      </rPr>
      <t>Complete (beyond plan)</t>
    </r>
  </si>
  <si>
    <t>Identify dimensions and products</t>
  </si>
  <si>
    <t>Validate model performance</t>
  </si>
  <si>
    <t>Produce model evaluation report</t>
  </si>
  <si>
    <t>Visualization and Documentation</t>
  </si>
  <si>
    <t>Indicator Classification Map</t>
  </si>
  <si>
    <t>Invidividual Dimension Causality Models</t>
  </si>
  <si>
    <t>Design dimensionality matrices</t>
  </si>
  <si>
    <t>Append model results with the classification map</t>
  </si>
  <si>
    <t>Recommend visualization design</t>
  </si>
  <si>
    <t>Write causality models documentation</t>
  </si>
  <si>
    <t>Phase 3</t>
  </si>
  <si>
    <t>Recommendations</t>
  </si>
  <si>
    <t>Develop recommendations</t>
  </si>
  <si>
    <t>Training</t>
  </si>
  <si>
    <t>Project Setup</t>
  </si>
  <si>
    <t>Actual Start Date</t>
  </si>
  <si>
    <t>Planned End Date</t>
  </si>
  <si>
    <t>Actual End Date</t>
  </si>
  <si>
    <t>Planned Start Date</t>
  </si>
  <si>
    <t>Can only change SSH password</t>
  </si>
  <si>
    <t>Oct 11 to 18</t>
  </si>
  <si>
    <t>No downtime occurred in the past few weeks</t>
  </si>
  <si>
    <t>Just loaded the imsi table. Will need to join tables to validate active subscriber based on the event level tables</t>
  </si>
  <si>
    <t>Duplicate of 44</t>
  </si>
  <si>
    <t>Duplicate of 21</t>
  </si>
  <si>
    <t>Appended in the Task tab</t>
  </si>
  <si>
    <t>Same ref_cause with Mali</t>
  </si>
  <si>
    <t>Reference tables</t>
  </si>
  <si>
    <t>Loaded imsi</t>
  </si>
  <si>
    <t>Jeffry</t>
  </si>
  <si>
    <t>Jeffry sent the structure</t>
  </si>
  <si>
    <t>Jan</t>
  </si>
  <si>
    <t>Done at the event level table</t>
  </si>
  <si>
    <t>Blob contains all products KPIs</t>
  </si>
  <si>
    <t>Run final models with complete data set</t>
  </si>
  <si>
    <t>Validate model performances</t>
  </si>
  <si>
    <t>Overall</t>
  </si>
  <si>
    <t>Recommend visualization</t>
  </si>
  <si>
    <t>Train and validate supplementary models</t>
  </si>
  <si>
    <t>Incomplete two weeks of event level data</t>
  </si>
  <si>
    <t>hebdo aggregated tables can only have 1 week of complete data based on the date range of 8-Oct to 18-Oct</t>
  </si>
  <si>
    <t>Present day</t>
  </si>
  <si>
    <t>Still not done with weekly summary stat</t>
  </si>
  <si>
    <t>Performance testing</t>
  </si>
  <si>
    <t>Review hierarchy</t>
  </si>
  <si>
    <t>Backup and lock tables</t>
  </si>
  <si>
    <t>Initial assessment of infrastructue</t>
  </si>
  <si>
    <t>Understand table and column usage</t>
  </si>
  <si>
    <t>Understand data quality: Completeness analysis, uniqueness analysis, validity analysis, accuracy analysis, timeliness analysis</t>
  </si>
  <si>
    <t>Produce enhanced data dictionary</t>
  </si>
  <si>
    <t>Performance issue when joining tables</t>
  </si>
  <si>
    <t>Top 5000 rows of all tables</t>
  </si>
  <si>
    <t>Uploaded in OneDrive</t>
  </si>
  <si>
    <t>Join daily aggregated table with last_mobile and ota_devices</t>
  </si>
  <si>
    <t>Sent copy to Jeffry</t>
  </si>
  <si>
    <t>Build QOE-based KPI hierarchy</t>
  </si>
  <si>
    <t>Populate QOE on encode_histo_cols_agreg</t>
  </si>
  <si>
    <t>HIgh</t>
  </si>
  <si>
    <t>Validate if qoe_sms formula and output is the same with CEM calculation on daily aggregated tables</t>
  </si>
  <si>
    <t>QOE dependent hierarchy levels 1 to 3 are finished</t>
  </si>
  <si>
    <t>Build correlation matrix on all usuable aggregated tables</t>
  </si>
  <si>
    <t>Provided summary. *init* and *Ok* show perfect linear relationship. Waiting for answers</t>
  </si>
  <si>
    <t>Compare distinct HEXIMSIs among events and aggregated tables</t>
  </si>
  <si>
    <t>2G events only contain failed events. For 3G, voice only record failed events, SMS and Data contain successful events</t>
  </si>
  <si>
    <t>What does the :1 operator mean in the denominator of the qoe_data</t>
  </si>
  <si>
    <t>The 2g and 3g events contain 400k+ distinct HEXIMSIs and GPRS events contain 200k+ events. Is this only a subset of the active subscribers? Because the subscribers contain 6M+ records</t>
  </si>
  <si>
    <t>There are no terminating calls included in the aggregated table</t>
  </si>
  <si>
    <t xml:space="preserve">Everytime there is a successful call (OcInit…), there is a corresponding failed call (OcKo…), which doesn’t make sense which scores the qoe_voix to 5 for any successful call and 0 for failed calls. Needs clarification on counters. </t>
  </si>
  <si>
    <t xml:space="preserve">Medium </t>
  </si>
  <si>
    <t>Closed</t>
  </si>
  <si>
    <t>Joining tables will be done in R rather than in SQL. One possible reason is that there are no schemas assigned to the tables.</t>
  </si>
  <si>
    <t>Will use formula based on qoe_rules</t>
  </si>
  <si>
    <t xml:space="preserve">Some SMS related KPIs (i.e. SMSMTStatKo3g) are not treated as failed counters but the naming convention suggests that it is a failure. </t>
  </si>
  <si>
    <t>SmsMoOkOffNetF3g as successful SMS’s, SmsMtOkOffNetF3g as successful SMS’s, SmsMtOkOffNetF2g as successful SMS’s, SmsMoKoFixeB2g as a 2g problem, which is all correct according to the formulae. Etancesys does not pick up those.</t>
  </si>
  <si>
    <t>Adrian / Jovan</t>
  </si>
  <si>
    <t>Build steerco 2 deck</t>
  </si>
  <si>
    <t>Rebaseline project timeline</t>
  </si>
  <si>
    <t>Christmas break</t>
  </si>
  <si>
    <t>Phase 1 current state</t>
  </si>
  <si>
    <t>Phase 2 current state</t>
  </si>
  <si>
    <t>Train and validate preliminary models</t>
  </si>
  <si>
    <t>Model building: qoe_voix with QKPIs</t>
  </si>
  <si>
    <t>Model building: qoe_sms with QKPIs</t>
  </si>
  <si>
    <t>Model building: qoe_data with QKPIs</t>
  </si>
  <si>
    <t>Model building: qoe with QOE products</t>
  </si>
  <si>
    <t>Send missing KPIs to Jovan so that it can be included in the questions for the meeting</t>
  </si>
  <si>
    <t>Compile events from three tables (calls_details, calls_details_3g, calls_details_gprs) into one table for a sample for HEXIMSIs</t>
  </si>
  <si>
    <t>Also, it includes the compiled events from the three tables – 2G, 3G and GPRS so we can check if it contains failed events only.
·         For 2G and 3G voice where the duree_cnx AND duree_ringing AND duree_ringing &gt; 0 = all failed events
·         For SMS, the events contain acknowledge receipt and delivered, so I assume it also includes successful ones
·         For GPRS, it includes events that have no rejcause
·         For 3G data PS, all have rej_cause; I am not sure what does Data PS and PS mean and how do they differ.</t>
  </si>
  <si>
    <t>Compare the hourly count and aggregate it to daily by IMSI aggregation then compare if the numbers would match.</t>
  </si>
  <si>
    <t>None of the KPIs differ with the aggregation except the KPIs calculated by CEM which some are incorrect and most are due to distinct count and average-based KPIs</t>
  </si>
  <si>
    <t>Compute for missing phone models based on distinct HEXIMSIs</t>
  </si>
  <si>
    <t>17% of the 466k+ distinct HEXIMSIs from imsi_jour have no phone model attribute attached to it. This is based on the code_tac from last_mobile joined with ota_devices table.</t>
  </si>
  <si>
    <t xml:space="preserve">Adrian </t>
  </si>
  <si>
    <t>There are 77% missing distinct LAC CI of the 44,948 distinct concatenated LAC and CI from the ci_jour table; these are the LAC and Cis that at least generated one event based on the ci_jour table.</t>
  </si>
  <si>
    <t>Compute for missing distinct combined LAC CI based on ci_jour</t>
  </si>
  <si>
    <t>Compute for missing distinct combined LAC CI based on encode_histo_cols_agreg</t>
  </si>
  <si>
    <t>There are missing 76% (34,573 / 44,956) distinct LAC CI in the encode_histo_cols_agreg when joined with geo_reg_cells table. This is almost consistent with the 77% from the ci_jour table.</t>
  </si>
  <si>
    <t>In the QOE v2 Hierarchy, all of the highlighted KPIs in red are missing from encode_histo_cols_agreg.</t>
  </si>
  <si>
    <t>Compute for missing handset phone models based on distinct HEXIMSI</t>
  </si>
  <si>
    <t xml:space="preserve">All of the 466k distinct HEXIMSIs from imsi_jour have contract attribute. </t>
  </si>
  <si>
    <t>Classify contract type, most are legecy</t>
  </si>
  <si>
    <t>When the L3 KPI contain at least one count, it puts one count to the denominator</t>
  </si>
  <si>
    <t>Model building: Aggregated KPIs with KPIs</t>
  </si>
  <si>
    <t>Model building: Dimensions</t>
  </si>
  <si>
    <t>Done for steerco 2</t>
  </si>
  <si>
    <t>Waiting for event data dictionary</t>
  </si>
  <si>
    <t>Sent 1.2 but only for KPIs</t>
  </si>
  <si>
    <t>In progress</t>
  </si>
  <si>
    <t>Problems on qoe_data and qoe_voix. Waiting for new data set</t>
  </si>
  <si>
    <t>Discussed in steerco 2</t>
  </si>
  <si>
    <t>Aggregated from hourly to daily retaining LACCI and IMSI</t>
  </si>
  <si>
    <t>Collapse phone model variants (build hierarchy of phone models)</t>
  </si>
  <si>
    <t>Apply QOE SMS formula on SQL</t>
  </si>
  <si>
    <t>Received data dictionary for KPI but not for evecnt level yet</t>
  </si>
  <si>
    <t>Etancesys will provide new set of data</t>
  </si>
  <si>
    <t>Will calculate formula from hourly to daily</t>
  </si>
  <si>
    <t>Separate tables by product (voice, sms, data) because MySQL timesout with R connection</t>
  </si>
  <si>
    <t>Doing SMS because the formula for other products isnt fixed yet</t>
  </si>
  <si>
    <t xml:space="preserve">         After joining, there are 14,941,121 records.
·         There are 1,174,771 records where old code_tac = 0 (8%). 
There are 9,894,008 records where old code_tac is NA (66%). 
Which makes 11,068,779 blank old code_tac (74%).
·         Valid code_tac returns 3,872,342 records (26%).
·         Out of these records, 1,467,368 (38%) have different code_tac and 306,758 (8%) have no code_tac in the updated subscriber table.</t>
  </si>
  <si>
    <t>Received 1.2 with French and English descriptions</t>
  </si>
  <si>
    <t>Classify phone model - smart phone, feature phone, dongle, tablet, etc</t>
  </si>
  <si>
    <t>Prepare steerco 3</t>
  </si>
  <si>
    <t>Apply model 1 and model 2 on SMS products on full dataset</t>
  </si>
  <si>
    <t>Can collapse phone model variants with different TACs because they have the same qualities</t>
  </si>
  <si>
    <t>Hourly aggregation from encode_histo_cols_agreg</t>
  </si>
  <si>
    <t>Initial assessment of infrastructure</t>
  </si>
  <si>
    <r>
      <rPr>
        <sz val="14"/>
        <color theme="1" tint="0.24994659260841701"/>
        <rFont val="Calibri"/>
      </rPr>
      <t>Actual (beyond plan</t>
    </r>
    <r>
      <rPr>
        <sz val="14"/>
        <color theme="1"/>
        <rFont val="Calibri"/>
        <family val="2"/>
        <scheme val="minor"/>
      </rPr>
      <t>)</t>
    </r>
  </si>
  <si>
    <r>
      <rPr>
        <sz val="14"/>
        <color theme="1" tint="0.24994659260841701"/>
        <rFont val="Calibri"/>
      </rPr>
      <t>%</t>
    </r>
    <r>
      <rPr>
        <sz val="14"/>
        <color theme="1"/>
        <rFont val="Calibri"/>
        <family val="2"/>
        <scheme val="minor"/>
      </rPr>
      <t xml:space="preserve"> </t>
    </r>
    <r>
      <rPr>
        <sz val="14"/>
        <color theme="1" tint="0.24994659260841701"/>
        <rFont val="Calibri"/>
      </rPr>
      <t>Complete (beyond plan)</t>
    </r>
  </si>
  <si>
    <t>Short work week (PH Holiday)</t>
  </si>
  <si>
    <t>Rerun hourly and daily aggregation from encode_histo_cols_agreg</t>
  </si>
  <si>
    <t>Run 60 models for all SMS KPI levels</t>
  </si>
  <si>
    <t>Script is ready, just waiting for Task 106</t>
  </si>
  <si>
    <t>Draft logistic regression process to model SMS event table using calls_details3g</t>
  </si>
  <si>
    <t>In parallel with Task 107</t>
  </si>
  <si>
    <t>Done classifying top 80%</t>
  </si>
</sst>
</file>

<file path=xl/styles.xml><?xml version="1.0" encoding="utf-8"?>
<styleSheet xmlns="http://schemas.openxmlformats.org/spreadsheetml/2006/main" xmlns:mc="http://schemas.openxmlformats.org/markup-compatibility/2006" xmlns:x14ac="http://schemas.microsoft.com/office/spreadsheetml/2009/9/ac" mc:Ignorable="x14ac">
  <fonts count="54" x14ac:knownFonts="1">
    <font>
      <sz val="12"/>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u/>
      <sz val="12"/>
      <color theme="10"/>
      <name val="Calibri"/>
      <family val="2"/>
      <scheme val="minor"/>
    </font>
    <font>
      <u/>
      <sz val="12"/>
      <color theme="11"/>
      <name val="Calibri"/>
      <family val="2"/>
      <scheme val="minor"/>
    </font>
    <font>
      <b/>
      <sz val="42"/>
      <color theme="7"/>
      <name val="Calibri Light"/>
      <family val="2"/>
      <scheme val="major"/>
    </font>
    <font>
      <sz val="11"/>
      <color theme="1" tint="0.24994659260841701"/>
      <name val="Calibri Light"/>
      <family val="2"/>
      <scheme val="major"/>
    </font>
    <font>
      <b/>
      <sz val="11"/>
      <color theme="1" tint="0.24994659260841701"/>
      <name val="Calibri"/>
      <family val="2"/>
      <scheme val="minor"/>
    </font>
    <font>
      <sz val="14"/>
      <color theme="7"/>
      <name val="Calibri"/>
      <family val="2"/>
      <scheme val="minor"/>
    </font>
    <font>
      <sz val="14"/>
      <color theme="1" tint="0.24994659260841701"/>
      <name val="Calibri"/>
      <family val="2"/>
      <scheme val="minor"/>
    </font>
    <font>
      <sz val="12"/>
      <color theme="1" tint="0.24994659260841701"/>
      <name val="Calibri"/>
      <family val="2"/>
    </font>
    <font>
      <b/>
      <sz val="13"/>
      <color theme="1" tint="0.24994659260841701"/>
      <name val="Calibri Light"/>
      <family val="2"/>
      <scheme val="major"/>
    </font>
    <font>
      <b/>
      <sz val="13"/>
      <color theme="7"/>
      <name val="Calibri Light"/>
      <family val="2"/>
      <scheme val="major"/>
    </font>
    <font>
      <b/>
      <sz val="9.5"/>
      <color theme="1" tint="0.499984740745262"/>
      <name val="Calibri"/>
      <family val="2"/>
      <scheme val="minor"/>
    </font>
    <font>
      <b/>
      <sz val="13"/>
      <color theme="1" tint="0.24994659260841701"/>
      <name val="Calibri"/>
    </font>
    <font>
      <b/>
      <sz val="13"/>
      <color theme="7"/>
      <name val="Calibri"/>
    </font>
    <font>
      <sz val="13"/>
      <color theme="1" tint="0.24994659260841701"/>
      <name val="Calibri"/>
    </font>
    <font>
      <sz val="9.5"/>
      <color theme="1" tint="0.499984740745262"/>
      <name val="Calibri"/>
      <scheme val="minor"/>
    </font>
    <font>
      <b/>
      <sz val="13"/>
      <color theme="9"/>
      <name val="Calibri"/>
    </font>
    <font>
      <b/>
      <i/>
      <sz val="13"/>
      <color theme="9" tint="0.39997558519241921"/>
      <name val="Calibri"/>
    </font>
    <font>
      <b/>
      <sz val="13"/>
      <color theme="8"/>
      <name val="Calibri"/>
    </font>
    <font>
      <b/>
      <sz val="11"/>
      <color theme="7"/>
      <name val="Calibri Light"/>
      <family val="2"/>
      <scheme val="major"/>
    </font>
    <font>
      <sz val="11"/>
      <color theme="7"/>
      <name val="Calibri"/>
      <family val="2"/>
      <scheme val="minor"/>
    </font>
    <font>
      <sz val="11"/>
      <color theme="1" tint="0.24994659260841701"/>
      <name val="Calibri"/>
      <family val="2"/>
    </font>
    <font>
      <sz val="11"/>
      <color theme="1"/>
      <name val="Calibri"/>
      <family val="2"/>
      <scheme val="minor"/>
    </font>
    <font>
      <b/>
      <sz val="11"/>
      <color theme="1" tint="0.24994659260841701"/>
      <name val="Calibri Light"/>
      <family val="2"/>
      <scheme val="major"/>
    </font>
    <font>
      <b/>
      <sz val="11"/>
      <color theme="1" tint="0.499984740745262"/>
      <name val="Calibri"/>
      <family val="2"/>
      <scheme val="minor"/>
    </font>
    <font>
      <sz val="11"/>
      <color theme="1" tint="0.499984740745262"/>
      <name val="Calibri"/>
      <scheme val="minor"/>
    </font>
    <font>
      <b/>
      <sz val="11"/>
      <color theme="9"/>
      <name val="Calibri"/>
    </font>
    <font>
      <b/>
      <sz val="11"/>
      <color theme="8"/>
      <name val="Calibri"/>
    </font>
    <font>
      <b/>
      <sz val="11"/>
      <color theme="1" tint="0.24994659260841701"/>
      <name val="Calibri"/>
    </font>
    <font>
      <b/>
      <sz val="11"/>
      <color theme="5"/>
      <name val="Calibri"/>
    </font>
    <font>
      <b/>
      <u/>
      <sz val="11"/>
      <color theme="5"/>
      <name val="Calibri"/>
    </font>
    <font>
      <b/>
      <u/>
      <sz val="11"/>
      <color theme="8"/>
      <name val="Calibri"/>
    </font>
    <font>
      <b/>
      <u/>
      <sz val="11"/>
      <color theme="9"/>
      <name val="Calibri"/>
    </font>
    <font>
      <b/>
      <sz val="14"/>
      <color theme="5"/>
      <name val="Calibri Light"/>
      <scheme val="major"/>
    </font>
    <font>
      <b/>
      <sz val="14"/>
      <color theme="1" tint="0.24994659260841701"/>
      <name val="Calibri Light"/>
      <scheme val="major"/>
    </font>
    <font>
      <b/>
      <u/>
      <sz val="14"/>
      <color theme="9"/>
      <name val="Calibri"/>
    </font>
    <font>
      <b/>
      <sz val="14"/>
      <color theme="9"/>
      <name val="Calibri"/>
    </font>
    <font>
      <sz val="14"/>
      <color theme="1" tint="0.24994659260841701"/>
      <name val="Calibri"/>
    </font>
    <font>
      <b/>
      <u/>
      <sz val="14"/>
      <color theme="8"/>
      <name val="Calibri"/>
    </font>
    <font>
      <b/>
      <sz val="14"/>
      <color theme="8"/>
      <name val="Calibri"/>
    </font>
    <font>
      <b/>
      <u/>
      <sz val="14"/>
      <color theme="5"/>
      <name val="Calibri"/>
    </font>
    <font>
      <b/>
      <sz val="14"/>
      <color theme="5"/>
      <name val="Calibri"/>
    </font>
    <font>
      <b/>
      <sz val="14"/>
      <color theme="1" tint="0.24994659260841701"/>
      <name val="Calibri"/>
    </font>
    <font>
      <sz val="14"/>
      <color theme="1" tint="0.24994659260841701"/>
      <name val="Calibri Light"/>
      <family val="2"/>
      <scheme val="major"/>
    </font>
    <font>
      <b/>
      <sz val="14"/>
      <color theme="7"/>
      <name val="Calibri Light"/>
      <family val="2"/>
      <scheme val="major"/>
    </font>
    <font>
      <b/>
      <sz val="14"/>
      <color theme="1" tint="0.499984740745262"/>
      <name val="Calibri"/>
      <family val="2"/>
      <scheme val="minor"/>
    </font>
    <font>
      <b/>
      <sz val="14"/>
      <color theme="9"/>
      <name val="Calibri Light"/>
      <scheme val="major"/>
    </font>
    <font>
      <sz val="14"/>
      <color theme="1" tint="0.499984740745262"/>
      <name val="Calibri"/>
      <scheme val="minor"/>
    </font>
    <font>
      <b/>
      <sz val="14"/>
      <color theme="1" tint="0.24994659260841701"/>
      <name val="Calibri"/>
      <family val="2"/>
      <scheme val="minor"/>
    </font>
    <font>
      <sz val="14"/>
      <color theme="1"/>
      <name val="Calibri"/>
      <family val="2"/>
      <scheme val="minor"/>
    </font>
    <font>
      <b/>
      <sz val="14"/>
      <color theme="7"/>
      <name val="Calibri"/>
    </font>
  </fonts>
  <fills count="13">
    <fill>
      <patternFill patternType="none"/>
    </fill>
    <fill>
      <patternFill patternType="gray125"/>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auto="1"/>
      </patternFill>
    </fill>
    <fill>
      <patternFill patternType="solid">
        <fgColor theme="5" tint="0.59999389629810485"/>
        <bgColor indexed="64"/>
      </patternFill>
    </fill>
    <fill>
      <patternFill patternType="lightUp">
        <fgColor theme="9"/>
        <bgColor theme="9" tint="0.59996337778862885"/>
      </patternFill>
    </fill>
    <fill>
      <patternFill patternType="lightUp">
        <fgColor theme="5"/>
        <bgColor theme="5" tint="0.59996337778862885"/>
      </patternFill>
    </fill>
    <fill>
      <patternFill patternType="lightUp">
        <fgColor theme="4" tint="0.59996337778862885"/>
        <bgColor theme="4" tint="0.79998168889431442"/>
      </patternFill>
    </fill>
    <fill>
      <patternFill patternType="solid">
        <fgColor theme="0" tint="-0.14999847407452621"/>
        <bgColor indexed="64"/>
      </patternFill>
    </fill>
  </fills>
  <borders count="7">
    <border>
      <left/>
      <right/>
      <top/>
      <bottom/>
      <diagonal/>
    </border>
    <border>
      <left/>
      <right/>
      <top style="thin">
        <color theme="9" tint="-0.24994659260841701"/>
      </top>
      <bottom style="thin">
        <color theme="9" tint="-0.24994659260841701"/>
      </bottom>
      <diagonal/>
    </border>
    <border>
      <left style="thin">
        <color theme="0"/>
      </left>
      <right style="thin">
        <color theme="0"/>
      </right>
      <top style="thin">
        <color theme="0"/>
      </top>
      <bottom style="thin">
        <color theme="0"/>
      </bottom>
      <diagonal/>
    </border>
    <border>
      <left/>
      <right/>
      <top/>
      <bottom style="thin">
        <color theme="7"/>
      </bottom>
      <diagonal/>
    </border>
    <border>
      <left style="thin">
        <color theme="0" tint="-0.499984740745262"/>
      </left>
      <right style="thin">
        <color theme="0" tint="-0.499984740745262"/>
      </right>
      <top style="thin">
        <color theme="7"/>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7"/>
      </bottom>
      <diagonal/>
    </border>
  </borders>
  <cellStyleXfs count="69">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Protection="0">
      <alignment vertical="center"/>
    </xf>
    <xf numFmtId="0" fontId="8" fillId="2" borderId="1" applyNumberFormat="0" applyProtection="0">
      <alignment horizontal="left" vertical="center"/>
    </xf>
    <xf numFmtId="0" fontId="10" fillId="0" borderId="0" applyNumberFormat="0" applyFill="0" applyBorder="0" applyProtection="0">
      <alignment horizontal="left" vertical="center"/>
    </xf>
    <xf numFmtId="0" fontId="12" fillId="0" borderId="0" applyFill="0" applyBorder="0" applyProtection="0">
      <alignment horizontal="left"/>
    </xf>
    <xf numFmtId="9" fontId="13" fillId="0" borderId="0" applyFill="0" applyBorder="0" applyProtection="0">
      <alignment horizontal="center" vertical="center"/>
    </xf>
    <xf numFmtId="0" fontId="14" fillId="0" borderId="0" applyFill="0" applyBorder="0" applyProtection="0">
      <alignment horizontal="center"/>
    </xf>
    <xf numFmtId="3" fontId="14" fillId="0" borderId="3" applyFill="0" applyProtection="0">
      <alignment horizontal="center"/>
    </xf>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28">
    <xf numFmtId="0" fontId="0" fillId="0" borderId="0" xfId="0"/>
    <xf numFmtId="0" fontId="1" fillId="0" borderId="0" xfId="0" applyFont="1" applyAlignment="1">
      <alignment horizontal="center"/>
    </xf>
    <xf numFmtId="0" fontId="0" fillId="0" borderId="0" xfId="0" applyAlignment="1">
      <alignment horizontal="center"/>
    </xf>
    <xf numFmtId="17" fontId="0" fillId="0" borderId="0" xfId="0" applyNumberFormat="1" applyAlignment="1">
      <alignment horizontal="center"/>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17" fontId="3" fillId="0" borderId="0" xfId="0" applyNumberFormat="1" applyFont="1" applyAlignment="1">
      <alignment horizontal="center" vertical="center" wrapText="1"/>
    </xf>
    <xf numFmtId="17" fontId="3" fillId="0" borderId="0" xfId="0" applyNumberFormat="1" applyFont="1" applyAlignment="1">
      <alignment horizontal="left" vertical="center" wrapText="1"/>
    </xf>
    <xf numFmtId="0" fontId="7" fillId="0" borderId="0" xfId="4" applyAlignment="1">
      <alignment horizontal="center"/>
    </xf>
    <xf numFmtId="0" fontId="7" fillId="0" borderId="0" xfId="4">
      <alignment vertical="center"/>
    </xf>
    <xf numFmtId="0" fontId="8" fillId="2" borderId="1" xfId="5">
      <alignment horizontal="left" vertical="center"/>
    </xf>
    <xf numFmtId="0" fontId="9" fillId="2" borderId="1" xfId="5" applyFont="1">
      <alignment horizontal="left" vertical="center"/>
    </xf>
    <xf numFmtId="0" fontId="7" fillId="3" borderId="2" xfId="4" applyFill="1" applyBorder="1" applyAlignment="1">
      <alignment horizontal="center"/>
    </xf>
    <xf numFmtId="0" fontId="11" fillId="0" borderId="0" xfId="6" applyFont="1">
      <alignment horizontal="left" vertical="center"/>
    </xf>
    <xf numFmtId="0" fontId="7" fillId="4" borderId="2" xfId="4" applyFill="1" applyBorder="1" applyAlignment="1">
      <alignment horizontal="center"/>
    </xf>
    <xf numFmtId="0" fontId="7" fillId="5" borderId="2" xfId="4" applyFill="1" applyBorder="1" applyAlignment="1">
      <alignment horizontal="center"/>
    </xf>
    <xf numFmtId="0" fontId="0" fillId="0" borderId="0" xfId="6" applyFont="1">
      <alignment horizontal="left" vertical="center"/>
    </xf>
    <xf numFmtId="0" fontId="7" fillId="6" borderId="2" xfId="4" applyFill="1" applyBorder="1" applyAlignment="1">
      <alignment horizontal="center"/>
    </xf>
    <xf numFmtId="0" fontId="7" fillId="7" borderId="2" xfId="4" applyFill="1" applyBorder="1" applyAlignment="1">
      <alignment horizontal="center"/>
    </xf>
    <xf numFmtId="0" fontId="12" fillId="0" borderId="0" xfId="7">
      <alignment horizontal="left"/>
    </xf>
    <xf numFmtId="9" fontId="13" fillId="0" borderId="0" xfId="8">
      <alignment horizontal="center" vertical="center"/>
    </xf>
    <xf numFmtId="0" fontId="14" fillId="0" borderId="0" xfId="9">
      <alignment horizontal="center"/>
    </xf>
    <xf numFmtId="0" fontId="14" fillId="0" borderId="0" xfId="9" applyAlignment="1">
      <alignment horizontal="left"/>
    </xf>
    <xf numFmtId="3" fontId="14" fillId="0" borderId="3" xfId="10">
      <alignment horizontal="center"/>
    </xf>
    <xf numFmtId="0" fontId="15" fillId="0" borderId="0" xfId="7" applyFont="1">
      <alignment horizontal="left"/>
    </xf>
    <xf numFmtId="0" fontId="11" fillId="0" borderId="0" xfId="4" applyFont="1" applyAlignment="1">
      <alignment horizontal="center"/>
    </xf>
    <xf numFmtId="9" fontId="16" fillId="0" borderId="0" xfId="8" applyFont="1">
      <alignment horizontal="center" vertical="center"/>
    </xf>
    <xf numFmtId="14" fontId="3"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17" fillId="0" borderId="0" xfId="7" applyFont="1" applyAlignment="1">
      <alignment horizontal="left" indent="1"/>
    </xf>
    <xf numFmtId="0" fontId="17" fillId="0" borderId="0" xfId="7" applyFont="1" applyAlignment="1">
      <alignment horizontal="left" indent="2"/>
    </xf>
    <xf numFmtId="0" fontId="17" fillId="0" borderId="0" xfId="7" applyFont="1">
      <alignment horizontal="left"/>
    </xf>
    <xf numFmtId="0" fontId="17" fillId="0" borderId="0" xfId="7" applyFont="1" applyAlignment="1">
      <alignment horizontal="left"/>
    </xf>
    <xf numFmtId="16" fontId="18" fillId="0" borderId="0" xfId="9" applyNumberFormat="1" applyFont="1">
      <alignment horizontal="center"/>
    </xf>
    <xf numFmtId="0" fontId="19" fillId="0" borderId="0" xfId="7" applyFont="1">
      <alignment horizontal="left"/>
    </xf>
    <xf numFmtId="0" fontId="20" fillId="0" borderId="0" xfId="7" applyFont="1" applyAlignment="1">
      <alignment horizontal="left"/>
    </xf>
    <xf numFmtId="0" fontId="20" fillId="0" borderId="0" xfId="7" applyFont="1">
      <alignment horizontal="left"/>
    </xf>
    <xf numFmtId="0" fontId="21" fillId="0" borderId="0" xfId="7" applyFont="1">
      <alignment horizontal="left"/>
    </xf>
    <xf numFmtId="0" fontId="7" fillId="0" borderId="0" xfId="4" applyFont="1" applyAlignment="1">
      <alignment horizontal="center"/>
    </xf>
    <xf numFmtId="0" fontId="7" fillId="0" borderId="0" xfId="4" applyFont="1">
      <alignment vertical="center"/>
    </xf>
    <xf numFmtId="0" fontId="8" fillId="2" borderId="1" xfId="5" applyFont="1">
      <alignment horizontal="left" vertical="center"/>
    </xf>
    <xf numFmtId="0" fontId="23" fillId="2" borderId="1" xfId="5" applyFont="1">
      <alignment horizontal="left" vertical="center"/>
    </xf>
    <xf numFmtId="0" fontId="24" fillId="0" borderId="0" xfId="6" applyFont="1">
      <alignment horizontal="left" vertical="center"/>
    </xf>
    <xf numFmtId="0" fontId="25" fillId="0" borderId="0" xfId="6" applyFont="1">
      <alignment horizontal="left" vertical="center"/>
    </xf>
    <xf numFmtId="0" fontId="26" fillId="0" borderId="0" xfId="7" applyFont="1">
      <alignment horizontal="left"/>
    </xf>
    <xf numFmtId="9" fontId="22" fillId="0" borderId="0" xfId="8" applyFont="1">
      <alignment horizontal="center" vertical="center"/>
    </xf>
    <xf numFmtId="0" fontId="27" fillId="0" borderId="0" xfId="9" applyFont="1">
      <alignment horizontal="center"/>
    </xf>
    <xf numFmtId="3" fontId="27" fillId="0" borderId="3" xfId="10" applyFont="1">
      <alignment horizontal="center"/>
    </xf>
    <xf numFmtId="0" fontId="27" fillId="0" borderId="0" xfId="9" applyFont="1" applyAlignment="1">
      <alignment horizontal="center" vertical="center"/>
    </xf>
    <xf numFmtId="16" fontId="28" fillId="0" borderId="0" xfId="9" applyNumberFormat="1" applyFont="1" applyAlignment="1">
      <alignment horizontal="center" vertical="center"/>
    </xf>
    <xf numFmtId="3" fontId="27" fillId="0" borderId="3" xfId="10" applyFont="1" applyAlignment="1">
      <alignment horizontal="center" vertical="center"/>
    </xf>
    <xf numFmtId="0" fontId="35" fillId="0" borderId="0" xfId="7" applyFont="1" applyAlignment="1">
      <alignment horizontal="left" vertical="center"/>
    </xf>
    <xf numFmtId="0" fontId="24" fillId="0" borderId="0" xfId="4" applyFont="1" applyAlignment="1">
      <alignment horizontal="center" vertical="center"/>
    </xf>
    <xf numFmtId="0" fontId="7" fillId="0" borderId="0" xfId="4" applyFont="1" applyAlignment="1">
      <alignment horizontal="center" vertical="center"/>
    </xf>
    <xf numFmtId="0" fontId="7" fillId="0" borderId="0" xfId="4" applyFont="1" applyAlignment="1">
      <alignment vertical="center"/>
    </xf>
    <xf numFmtId="0" fontId="29" fillId="0" borderId="0" xfId="7" applyFont="1" applyAlignment="1">
      <alignment horizontal="left" vertical="center"/>
    </xf>
    <xf numFmtId="0" fontId="24" fillId="0" borderId="0" xfId="7" applyFont="1" applyAlignment="1">
      <alignment horizontal="left" vertical="center" indent="1"/>
    </xf>
    <xf numFmtId="0" fontId="24" fillId="0" borderId="0" xfId="7" applyFont="1" applyAlignment="1">
      <alignment horizontal="left" vertical="center" indent="2"/>
    </xf>
    <xf numFmtId="0" fontId="34" fillId="0" borderId="0" xfId="7" applyFont="1" applyAlignment="1">
      <alignment horizontal="left" vertical="center"/>
    </xf>
    <xf numFmtId="0" fontId="30" fillId="0" borderId="0" xfId="7" applyFont="1" applyAlignment="1">
      <alignment horizontal="left" vertical="center"/>
    </xf>
    <xf numFmtId="0" fontId="33" fillId="0" borderId="0" xfId="7" applyFont="1" applyAlignment="1">
      <alignment horizontal="left" vertical="center"/>
    </xf>
    <xf numFmtId="0" fontId="32" fillId="0" borderId="0" xfId="7" applyFont="1" applyAlignment="1">
      <alignment horizontal="left" vertical="center"/>
    </xf>
    <xf numFmtId="0" fontId="31" fillId="0" borderId="0" xfId="7" applyFont="1" applyAlignment="1">
      <alignment horizontal="left" vertical="center"/>
    </xf>
    <xf numFmtId="0" fontId="7" fillId="0" borderId="4" xfId="4" applyFont="1" applyBorder="1" applyAlignment="1">
      <alignment horizontal="center" vertical="center"/>
    </xf>
    <xf numFmtId="0" fontId="7" fillId="0" borderId="5" xfId="4" applyFont="1" applyBorder="1" applyAlignment="1">
      <alignment horizontal="center" vertical="center"/>
    </xf>
    <xf numFmtId="0" fontId="7" fillId="8" borderId="5" xfId="4" applyFont="1" applyFill="1" applyBorder="1" applyAlignment="1">
      <alignment horizontal="center" vertical="center"/>
    </xf>
    <xf numFmtId="0" fontId="7" fillId="11" borderId="2" xfId="4" applyFont="1" applyFill="1" applyBorder="1" applyAlignment="1">
      <alignment horizontal="center"/>
    </xf>
    <xf numFmtId="0" fontId="7" fillId="9" borderId="2" xfId="4" applyFont="1" applyFill="1" applyBorder="1" applyAlignment="1">
      <alignment horizontal="center"/>
    </xf>
    <xf numFmtId="0" fontId="7" fillId="10" borderId="2" xfId="4" applyFont="1" applyFill="1" applyBorder="1" applyAlignment="1">
      <alignment horizontal="center"/>
    </xf>
    <xf numFmtId="0" fontId="37" fillId="0" borderId="0" xfId="4" applyFont="1" applyAlignment="1">
      <alignment horizontal="center" vertical="center" wrapText="1"/>
    </xf>
    <xf numFmtId="0" fontId="7" fillId="0" borderId="0" xfId="4" applyFont="1" applyFill="1" applyAlignment="1">
      <alignment horizontal="center" vertical="center"/>
    </xf>
    <xf numFmtId="0" fontId="7" fillId="0" borderId="0" xfId="4" applyFont="1" applyFill="1" applyBorder="1" applyAlignment="1">
      <alignment horizontal="center" vertical="center"/>
    </xf>
    <xf numFmtId="0" fontId="36" fillId="0" borderId="0" xfId="4" applyFont="1" applyAlignment="1">
      <alignment horizontal="center" vertical="center" textRotation="90" wrapText="1"/>
    </xf>
    <xf numFmtId="0" fontId="7" fillId="12" borderId="4" xfId="4" applyFont="1" applyFill="1" applyBorder="1" applyAlignment="1">
      <alignment horizontal="center" vertical="center"/>
    </xf>
    <xf numFmtId="0" fontId="7" fillId="12" borderId="5" xfId="4" applyFont="1" applyFill="1" applyBorder="1" applyAlignment="1">
      <alignment horizontal="center" vertical="center"/>
    </xf>
    <xf numFmtId="0" fontId="38" fillId="0" borderId="0" xfId="7" applyFont="1" applyAlignment="1">
      <alignment horizontal="left" vertical="center"/>
    </xf>
    <xf numFmtId="0" fontId="39" fillId="0" borderId="0" xfId="7" applyFont="1" applyAlignment="1">
      <alignment horizontal="left" vertical="center"/>
    </xf>
    <xf numFmtId="0" fontId="40" fillId="0" borderId="0" xfId="7" applyFont="1" applyAlignment="1">
      <alignment horizontal="left" vertical="center" indent="1"/>
    </xf>
    <xf numFmtId="0" fontId="40" fillId="0" borderId="0" xfId="7" applyFont="1" applyAlignment="1">
      <alignment horizontal="left" vertical="center" indent="2"/>
    </xf>
    <xf numFmtId="0" fontId="41" fillId="0" borderId="0" xfId="7" applyFont="1" applyAlignment="1">
      <alignment horizontal="left" vertical="center"/>
    </xf>
    <xf numFmtId="0" fontId="42" fillId="0" borderId="0" xfId="7" applyFont="1" applyAlignment="1">
      <alignment horizontal="left" vertical="center"/>
    </xf>
    <xf numFmtId="0" fontId="43" fillId="0" borderId="0" xfId="7" applyFont="1" applyAlignment="1">
      <alignment horizontal="left" vertical="center"/>
    </xf>
    <xf numFmtId="0" fontId="44" fillId="0" borderId="0" xfId="7" applyFont="1" applyAlignment="1">
      <alignment horizontal="left" vertical="center"/>
    </xf>
    <xf numFmtId="0" fontId="45" fillId="0" borderId="0" xfId="7" applyFont="1" applyAlignment="1">
      <alignment horizontal="left" vertical="center"/>
    </xf>
    <xf numFmtId="0" fontId="40" fillId="0" borderId="0" xfId="7" applyFont="1" applyAlignment="1">
      <alignment horizontal="left" vertical="center" wrapText="1" indent="3"/>
    </xf>
    <xf numFmtId="0" fontId="40" fillId="0" borderId="0" xfId="7" applyFont="1" applyAlignment="1">
      <alignment horizontal="left" vertical="center" indent="4"/>
    </xf>
    <xf numFmtId="0" fontId="37" fillId="0" borderId="0" xfId="7" applyFont="1" applyAlignment="1">
      <alignment horizontal="center"/>
    </xf>
    <xf numFmtId="0" fontId="46" fillId="0" borderId="0" xfId="4" applyFont="1" applyAlignment="1">
      <alignment horizontal="center"/>
    </xf>
    <xf numFmtId="9" fontId="47" fillId="0" borderId="0" xfId="8" applyFont="1" applyAlignment="1">
      <alignment horizontal="center" vertical="center"/>
    </xf>
    <xf numFmtId="0" fontId="48" fillId="0" borderId="0" xfId="9" applyFont="1" applyAlignment="1">
      <alignment horizontal="center"/>
    </xf>
    <xf numFmtId="0" fontId="46" fillId="0" borderId="0" xfId="4" applyFont="1" applyAlignment="1">
      <alignment horizontal="center" vertical="center"/>
    </xf>
    <xf numFmtId="0" fontId="36" fillId="0" borderId="0" xfId="4" applyFont="1" applyAlignment="1">
      <alignment horizontal="center" textRotation="90" wrapText="1"/>
    </xf>
    <xf numFmtId="0" fontId="37" fillId="0" borderId="0" xfId="4" applyFont="1" applyAlignment="1">
      <alignment horizontal="center" textRotation="90"/>
    </xf>
    <xf numFmtId="0" fontId="49" fillId="0" borderId="0" xfId="4" applyFont="1" applyAlignment="1">
      <alignment horizontal="center" textRotation="90" wrapText="1"/>
    </xf>
    <xf numFmtId="0" fontId="37" fillId="0" borderId="0" xfId="4" applyFont="1" applyAlignment="1">
      <alignment horizontal="center"/>
    </xf>
    <xf numFmtId="0" fontId="37" fillId="0" borderId="0" xfId="4" applyFont="1" applyAlignment="1">
      <alignment horizontal="center" textRotation="90" wrapText="1"/>
    </xf>
    <xf numFmtId="0" fontId="48" fillId="0" borderId="0" xfId="9" applyFont="1" applyAlignment="1">
      <alignment horizontal="center" vertical="center"/>
    </xf>
    <xf numFmtId="16" fontId="50" fillId="0" borderId="0" xfId="9" applyNumberFormat="1" applyFont="1" applyAlignment="1">
      <alignment horizontal="center" vertical="center"/>
    </xf>
    <xf numFmtId="16" fontId="50" fillId="0" borderId="0" xfId="9" applyNumberFormat="1" applyFont="1" applyFill="1" applyBorder="1" applyAlignment="1">
      <alignment horizontal="center" vertical="center"/>
    </xf>
    <xf numFmtId="16" fontId="50" fillId="0" borderId="0" xfId="9" applyNumberFormat="1" applyFont="1" applyBorder="1" applyAlignment="1">
      <alignment horizontal="center" vertical="center"/>
    </xf>
    <xf numFmtId="0" fontId="46" fillId="0" borderId="0" xfId="4" applyFont="1">
      <alignment vertical="center"/>
    </xf>
    <xf numFmtId="3" fontId="48" fillId="0" borderId="3" xfId="10" applyFont="1" applyAlignment="1">
      <alignment horizontal="center" vertical="center"/>
    </xf>
    <xf numFmtId="3" fontId="48" fillId="0" borderId="0" xfId="10" applyFont="1" applyFill="1" applyBorder="1" applyAlignment="1">
      <alignment horizontal="center" vertical="center"/>
    </xf>
    <xf numFmtId="0" fontId="37" fillId="0" borderId="0" xfId="4" applyFont="1" applyFill="1" applyBorder="1" applyAlignment="1">
      <alignment horizontal="center" vertical="center"/>
    </xf>
    <xf numFmtId="3" fontId="48" fillId="8" borderId="6" xfId="10" applyFont="1" applyFill="1" applyBorder="1" applyAlignment="1">
      <alignment horizontal="center" vertical="center"/>
    </xf>
    <xf numFmtId="3" fontId="48" fillId="0" borderId="3" xfId="10" applyFont="1" applyFill="1" applyAlignment="1">
      <alignment horizontal="center" vertical="center"/>
    </xf>
    <xf numFmtId="0" fontId="46" fillId="8" borderId="5" xfId="4" applyFont="1" applyFill="1" applyBorder="1" applyAlignment="1">
      <alignment horizontal="center" vertical="center"/>
    </xf>
    <xf numFmtId="3" fontId="48" fillId="12" borderId="6" xfId="10" applyFont="1" applyFill="1" applyBorder="1" applyAlignment="1">
      <alignment horizontal="center" vertical="center"/>
    </xf>
    <xf numFmtId="3" fontId="48" fillId="0" borderId="3" xfId="10" applyFont="1">
      <alignment horizontal="center"/>
    </xf>
    <xf numFmtId="0" fontId="37" fillId="0" borderId="0" xfId="7" applyFont="1">
      <alignment horizontal="left"/>
    </xf>
    <xf numFmtId="9" fontId="47" fillId="0" borderId="0" xfId="8" applyFont="1">
      <alignment horizontal="center" vertical="center"/>
    </xf>
    <xf numFmtId="0" fontId="47" fillId="0" borderId="0" xfId="3" applyFont="1" applyAlignment="1">
      <alignment horizontal="left"/>
    </xf>
    <xf numFmtId="0" fontId="51" fillId="2" borderId="1" xfId="5" applyFont="1">
      <alignment horizontal="left" vertical="center"/>
    </xf>
    <xf numFmtId="0" fontId="46" fillId="11" borderId="2" xfId="4" applyFont="1" applyFill="1" applyBorder="1" applyAlignment="1">
      <alignment horizontal="center"/>
    </xf>
    <xf numFmtId="0" fontId="40" fillId="0" borderId="0" xfId="6" applyFont="1">
      <alignment horizontal="left" vertical="center"/>
    </xf>
    <xf numFmtId="0" fontId="46" fillId="9" borderId="2" xfId="4" applyFont="1" applyFill="1" applyBorder="1" applyAlignment="1">
      <alignment horizontal="center"/>
    </xf>
    <xf numFmtId="0" fontId="46" fillId="10" borderId="2" xfId="4" applyFont="1" applyFill="1" applyBorder="1" applyAlignment="1">
      <alignment horizontal="center"/>
    </xf>
    <xf numFmtId="0" fontId="52" fillId="0" borderId="0" xfId="6" applyFont="1">
      <alignment horizontal="left" vertical="center"/>
    </xf>
    <xf numFmtId="0" fontId="46" fillId="7" borderId="2" xfId="4" applyFont="1" applyFill="1" applyBorder="1" applyAlignment="1">
      <alignment horizontal="center"/>
    </xf>
    <xf numFmtId="9" fontId="53" fillId="0" borderId="0" xfId="8" applyFont="1" applyAlignment="1">
      <alignment horizontal="center" vertical="center"/>
    </xf>
    <xf numFmtId="0" fontId="6" fillId="0" borderId="0" xfId="3" applyAlignment="1">
      <alignment horizontal="left"/>
    </xf>
    <xf numFmtId="0" fontId="47" fillId="0" borderId="0" xfId="3" applyFont="1" applyAlignment="1">
      <alignment horizontal="left"/>
    </xf>
    <xf numFmtId="0" fontId="48" fillId="0" borderId="0" xfId="9" applyFont="1" applyAlignment="1">
      <alignment horizontal="center" vertical="center"/>
    </xf>
    <xf numFmtId="0" fontId="22" fillId="0" borderId="0" xfId="3" applyFont="1" applyAlignment="1">
      <alignment horizontal="left"/>
    </xf>
    <xf numFmtId="0" fontId="27" fillId="0" borderId="0" xfId="9" applyFont="1" applyAlignment="1">
      <alignment horizontal="center" vertical="center"/>
    </xf>
  </cellXfs>
  <cellStyles count="69">
    <cellStyle name="Activity" xfId="7"/>
    <cellStyle name="Followed Hyperlink" xfId="2"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Heading 1 2" xfId="3"/>
    <cellStyle name="Hyperlink" xfId="1"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Label" xfId="6"/>
    <cellStyle name="Normal" xfId="0" builtinId="0"/>
    <cellStyle name="Normal 2" xfId="4"/>
    <cellStyle name="Percent Complete" xfId="8"/>
    <cellStyle name="Period Headers" xfId="10"/>
    <cellStyle name="Period Highlight Control" xfId="5"/>
    <cellStyle name="Project Headers" xfId="9"/>
  </cellStyles>
  <dxfs count="193">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79998168889431442"/>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79998168889431442"/>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79998168889431442"/>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79998168889431442"/>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darkDown">
          <fgColor theme="4" tint="0.59996337778862885"/>
          <bgColor theme="4" tint="0.79998168889431442"/>
        </patternFill>
      </fill>
      <border>
        <bottom style="thin">
          <color theme="0"/>
        </bottom>
      </border>
    </dxf>
    <dxf>
      <fill>
        <patternFill patternType="lightUp">
          <fgColor theme="5"/>
          <bgColor theme="5" tint="0.59996337778862885"/>
        </patternFill>
      </fill>
      <border>
        <bottom style="thin">
          <color theme="0"/>
        </bottom>
      </border>
    </dxf>
    <dxf>
      <fill>
        <patternFill patternType="lightUp">
          <fgColor theme="9"/>
          <bgColor theme="9"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trlProps/ctrlProp1.xml><?xml version="1.0" encoding="utf-8"?>
<formControlPr xmlns="http://schemas.microsoft.com/office/spreadsheetml/2009/9/main" objectType="Spin" dx="0" inc="0" max="0" page="0" val="0"/>
</file>

<file path=xl/ctrlProps/ctrlProp2.xml><?xml version="1.0" encoding="utf-8"?>
<formControlPr xmlns="http://schemas.microsoft.com/office/spreadsheetml/2009/9/main" objectType="Spin" dx="0" inc="0" max="0" page="0" val="0"/>
</file>

<file path=xl/ctrlProps/ctrlProp3.xml><?xml version="1.0" encoding="utf-8"?>
<formControlPr xmlns="http://schemas.microsoft.com/office/spreadsheetml/2009/9/main" objectType="Spin" dx="0" inc="0" max="0" page="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63500</xdr:colOff>
          <xdr:row>2</xdr:row>
          <xdr:rowOff>25400</xdr:rowOff>
        </xdr:from>
        <xdr:to>
          <xdr:col>14</xdr:col>
          <xdr:colOff>203200</xdr:colOff>
          <xdr:row>2</xdr:row>
          <xdr:rowOff>254000</xdr:rowOff>
        </xdr:to>
        <xdr:sp macro="" textlink="">
          <xdr:nvSpPr>
            <xdr:cNvPr id="1025" name="Spinner 1" descr="Period Highlight Spin Control"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63500</xdr:colOff>
          <xdr:row>2</xdr:row>
          <xdr:rowOff>25400</xdr:rowOff>
        </xdr:from>
        <xdr:to>
          <xdr:col>13</xdr:col>
          <xdr:colOff>203200</xdr:colOff>
          <xdr:row>3</xdr:row>
          <xdr:rowOff>50800</xdr:rowOff>
        </xdr:to>
        <xdr:sp macro="" textlink="">
          <xdr:nvSpPr>
            <xdr:cNvPr id="5121" name="Spinner 1" descr="Period Highlight Spin Control" hidden="1">
              <a:extLst>
                <a:ext uri="{63B3BB69-23CF-44E3-9099-C40C66FF867C}">
                  <a14:compatExt spid="_x0000_s512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63500</xdr:colOff>
          <xdr:row>2</xdr:row>
          <xdr:rowOff>25400</xdr:rowOff>
        </xdr:from>
        <xdr:to>
          <xdr:col>12</xdr:col>
          <xdr:colOff>203200</xdr:colOff>
          <xdr:row>3</xdr:row>
          <xdr:rowOff>50800</xdr:rowOff>
        </xdr:to>
        <xdr:sp macro="" textlink="">
          <xdr:nvSpPr>
            <xdr:cNvPr id="6145" name="Spinner 1" descr="Period Highlight Spin Control" hidden="1">
              <a:extLst>
                <a:ext uri="{63B3BB69-23CF-44E3-9099-C40C66FF867C}">
                  <a14:compatExt spid="_x0000_s614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4" Type="http://schemas.openxmlformats.org/officeDocument/2006/relationships/ctrlProp" Target="../ctrlProps/ctrlProp1.xml"/><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4" Type="http://schemas.openxmlformats.org/officeDocument/2006/relationships/ctrlProp" Target="../ctrlProps/ctrlProp2.xml"/><Relationship Id="rId1" Type="http://schemas.openxmlformats.org/officeDocument/2006/relationships/printerSettings" Target="../printerSettings/printerSettings2.bin"/><Relationship Id="rId2"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4" Type="http://schemas.openxmlformats.org/officeDocument/2006/relationships/ctrlProp" Target="../ctrlProps/ctrlProp3.xml"/><Relationship Id="rId1" Type="http://schemas.openxmlformats.org/officeDocument/2006/relationships/printerSettings" Target="../printerSettings/printerSettings3.bin"/><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dimension ref="A1:S112"/>
  <sheetViews>
    <sheetView zoomScale="120" zoomScaleNormal="120" zoomScalePageLayoutView="120" workbookViewId="0">
      <pane xSplit="6" ySplit="1" topLeftCell="G89" activePane="bottomRight" state="frozen"/>
      <selection pane="topRight" activeCell="E1" sqref="E1"/>
      <selection pane="bottomLeft" activeCell="A2" sqref="A2"/>
      <selection pane="bottomRight" activeCell="F112" sqref="F112"/>
    </sheetView>
  </sheetViews>
  <sheetFormatPr baseColWidth="10" defaultRowHeight="14" outlineLevelCol="1" x14ac:dyDescent="0.2"/>
  <cols>
    <col min="1" max="1" width="7" style="6" customWidth="1"/>
    <col min="2" max="2" width="7" style="6" hidden="1" customWidth="1" outlineLevel="1"/>
    <col min="3" max="3" width="7.83203125" style="6" hidden="1" customWidth="1" outlineLevel="1"/>
    <col min="4" max="4" width="10.6640625" style="6" hidden="1" customWidth="1" outlineLevel="1"/>
    <col min="5" max="5" width="10.83203125" style="6" collapsed="1"/>
    <col min="6" max="6" width="26.1640625" style="7" customWidth="1"/>
    <col min="7" max="7" width="8.5" style="6" customWidth="1"/>
    <col min="8" max="8" width="13.1640625" style="6" customWidth="1"/>
    <col min="9" max="10" width="10.33203125" style="6" customWidth="1"/>
    <col min="11" max="14" width="9.6640625" style="30" customWidth="1"/>
    <col min="15" max="15" width="18.83203125" style="8" customWidth="1"/>
    <col min="16" max="17" width="19.83203125" style="7" customWidth="1"/>
    <col min="18" max="18" width="19.83203125" style="8" hidden="1" customWidth="1"/>
    <col min="19" max="19" width="19.83203125" style="7" customWidth="1"/>
    <col min="20" max="16384" width="10.83203125" style="7"/>
  </cols>
  <sheetData>
    <row r="1" spans="1:19" s="5" customFormat="1" ht="28" x14ac:dyDescent="0.2">
      <c r="A1" s="4" t="s">
        <v>172</v>
      </c>
      <c r="B1" s="4" t="s">
        <v>173</v>
      </c>
      <c r="C1" s="4" t="s">
        <v>100</v>
      </c>
      <c r="D1" s="4" t="s">
        <v>52</v>
      </c>
      <c r="E1" s="4" t="s">
        <v>2</v>
      </c>
      <c r="F1" s="5" t="s">
        <v>47</v>
      </c>
      <c r="G1" s="4" t="s">
        <v>48</v>
      </c>
      <c r="H1" s="4" t="s">
        <v>81</v>
      </c>
      <c r="I1" s="4" t="s">
        <v>49</v>
      </c>
      <c r="J1" s="4" t="s">
        <v>271</v>
      </c>
      <c r="K1" s="31" t="s">
        <v>268</v>
      </c>
      <c r="L1" s="31" t="s">
        <v>99</v>
      </c>
      <c r="M1" s="31" t="s">
        <v>269</v>
      </c>
      <c r="N1" s="31" t="s">
        <v>270</v>
      </c>
      <c r="O1" s="4" t="s">
        <v>135</v>
      </c>
      <c r="P1" s="4" t="s">
        <v>4</v>
      </c>
      <c r="Q1" s="4" t="s">
        <v>101</v>
      </c>
      <c r="R1" s="4" t="s">
        <v>102</v>
      </c>
      <c r="S1" s="4" t="s">
        <v>114</v>
      </c>
    </row>
    <row r="2" spans="1:19" ht="84" hidden="1" x14ac:dyDescent="0.2">
      <c r="A2" s="6">
        <v>1</v>
      </c>
      <c r="C2" s="6">
        <v>1</v>
      </c>
      <c r="D2" s="6" t="s">
        <v>28</v>
      </c>
      <c r="E2" s="6" t="s">
        <v>5</v>
      </c>
      <c r="F2" s="7" t="s">
        <v>109</v>
      </c>
      <c r="G2" s="6" t="s">
        <v>51</v>
      </c>
      <c r="H2" s="6" t="s">
        <v>127</v>
      </c>
      <c r="I2" s="6" t="s">
        <v>58</v>
      </c>
      <c r="K2" s="30">
        <v>42655</v>
      </c>
      <c r="M2" s="30">
        <v>42671</v>
      </c>
      <c r="O2" s="8" t="s">
        <v>177</v>
      </c>
      <c r="P2" s="7" t="s">
        <v>197</v>
      </c>
      <c r="S2" s="7" t="s">
        <v>115</v>
      </c>
    </row>
    <row r="3" spans="1:19" ht="56" hidden="1" x14ac:dyDescent="0.2">
      <c r="A3" s="6">
        <v>2</v>
      </c>
      <c r="C3" s="6">
        <v>1</v>
      </c>
      <c r="D3" s="6" t="s">
        <v>28</v>
      </c>
      <c r="E3" s="6" t="s">
        <v>3</v>
      </c>
      <c r="F3" s="7" t="s">
        <v>105</v>
      </c>
      <c r="G3" s="6" t="s">
        <v>51</v>
      </c>
      <c r="H3" s="6" t="s">
        <v>127</v>
      </c>
      <c r="I3" s="6" t="s">
        <v>58</v>
      </c>
      <c r="K3" s="30">
        <v>42655</v>
      </c>
      <c r="M3" s="30">
        <v>42671</v>
      </c>
      <c r="P3" s="7" t="s">
        <v>29</v>
      </c>
      <c r="Q3" s="7" t="s">
        <v>66</v>
      </c>
      <c r="S3" s="7" t="s">
        <v>115</v>
      </c>
    </row>
    <row r="4" spans="1:19" ht="56" x14ac:dyDescent="0.2">
      <c r="A4" s="6">
        <v>3</v>
      </c>
      <c r="C4" s="6">
        <v>1</v>
      </c>
      <c r="D4" s="6" t="s">
        <v>28</v>
      </c>
      <c r="E4" s="6" t="s">
        <v>3</v>
      </c>
      <c r="F4" s="7" t="s">
        <v>34</v>
      </c>
      <c r="G4" s="6" t="s">
        <v>51</v>
      </c>
      <c r="H4" s="6" t="s">
        <v>170</v>
      </c>
      <c r="I4" s="6" t="s">
        <v>60</v>
      </c>
      <c r="J4" s="30">
        <v>42664</v>
      </c>
      <c r="K4" s="30">
        <v>42664</v>
      </c>
      <c r="M4" s="30">
        <v>42695</v>
      </c>
      <c r="O4" s="8" t="s">
        <v>178</v>
      </c>
      <c r="P4" s="7" t="s">
        <v>171</v>
      </c>
      <c r="Q4" s="7" t="s">
        <v>66</v>
      </c>
      <c r="S4" s="7" t="s">
        <v>122</v>
      </c>
    </row>
    <row r="5" spans="1:19" ht="28" x14ac:dyDescent="0.2">
      <c r="A5" s="6">
        <v>4</v>
      </c>
      <c r="C5" s="6">
        <v>1</v>
      </c>
      <c r="D5" s="6" t="s">
        <v>41</v>
      </c>
      <c r="E5" s="6" t="s">
        <v>3</v>
      </c>
      <c r="F5" s="7" t="s">
        <v>38</v>
      </c>
      <c r="G5" s="6" t="s">
        <v>51</v>
      </c>
      <c r="I5" s="6" t="s">
        <v>60</v>
      </c>
      <c r="J5" s="30">
        <v>42664</v>
      </c>
      <c r="M5" s="30">
        <v>42695</v>
      </c>
    </row>
    <row r="6" spans="1:19" ht="126" hidden="1" x14ac:dyDescent="0.2">
      <c r="A6" s="6">
        <v>5</v>
      </c>
      <c r="C6" s="6">
        <v>1</v>
      </c>
      <c r="D6" s="6" t="s">
        <v>0</v>
      </c>
      <c r="E6" s="6" t="s">
        <v>5</v>
      </c>
      <c r="F6" s="7" t="s">
        <v>110</v>
      </c>
      <c r="G6" s="6" t="s">
        <v>51</v>
      </c>
      <c r="H6" s="6" t="s">
        <v>127</v>
      </c>
      <c r="I6" s="6" t="s">
        <v>58</v>
      </c>
      <c r="K6" s="9">
        <v>44470</v>
      </c>
      <c r="L6" s="6"/>
      <c r="M6" s="6"/>
      <c r="N6" s="6"/>
      <c r="P6" s="7" t="s">
        <v>128</v>
      </c>
      <c r="S6" s="7" t="s">
        <v>118</v>
      </c>
    </row>
    <row r="7" spans="1:19" ht="280" hidden="1" x14ac:dyDescent="0.2">
      <c r="A7" s="6">
        <v>6</v>
      </c>
      <c r="C7" s="6">
        <v>1</v>
      </c>
      <c r="D7" s="6" t="s">
        <v>0</v>
      </c>
      <c r="E7" s="6" t="s">
        <v>5</v>
      </c>
      <c r="F7" s="7" t="s">
        <v>111</v>
      </c>
      <c r="G7" s="6" t="s">
        <v>51</v>
      </c>
      <c r="H7" s="6" t="s">
        <v>131</v>
      </c>
      <c r="I7" s="6" t="s">
        <v>58</v>
      </c>
      <c r="K7" s="9">
        <v>44470</v>
      </c>
      <c r="L7" s="6"/>
      <c r="M7" s="6"/>
      <c r="N7" s="6"/>
      <c r="P7" s="7" t="s">
        <v>130</v>
      </c>
      <c r="S7" s="7" t="s">
        <v>123</v>
      </c>
    </row>
    <row r="8" spans="1:19" ht="112" x14ac:dyDescent="0.2">
      <c r="A8" s="6">
        <v>7</v>
      </c>
      <c r="C8" s="6">
        <v>1</v>
      </c>
      <c r="D8" s="6" t="s">
        <v>28</v>
      </c>
      <c r="E8" s="6" t="s">
        <v>5</v>
      </c>
      <c r="F8" s="7" t="s">
        <v>179</v>
      </c>
      <c r="G8" s="6" t="s">
        <v>51</v>
      </c>
      <c r="H8" s="6" t="s">
        <v>98</v>
      </c>
      <c r="I8" s="6" t="s">
        <v>60</v>
      </c>
      <c r="J8" s="30">
        <v>42664</v>
      </c>
      <c r="K8" s="30">
        <v>42664</v>
      </c>
      <c r="M8" s="30">
        <v>42678</v>
      </c>
      <c r="P8" s="7" t="s">
        <v>132</v>
      </c>
      <c r="S8" s="7" t="s">
        <v>120</v>
      </c>
    </row>
    <row r="9" spans="1:19" ht="28" hidden="1" x14ac:dyDescent="0.2">
      <c r="A9" s="6">
        <v>8</v>
      </c>
      <c r="C9" s="6">
        <v>1</v>
      </c>
      <c r="D9" s="6" t="s">
        <v>1</v>
      </c>
      <c r="E9" s="6" t="s">
        <v>3</v>
      </c>
      <c r="F9" s="7" t="s">
        <v>24</v>
      </c>
      <c r="G9" s="6" t="s">
        <v>53</v>
      </c>
      <c r="I9" s="6" t="s">
        <v>58</v>
      </c>
      <c r="K9" s="9">
        <v>41183</v>
      </c>
      <c r="L9" s="6"/>
      <c r="M9" s="6"/>
      <c r="N9" s="6"/>
      <c r="Q9" s="7" t="s">
        <v>74</v>
      </c>
    </row>
    <row r="10" spans="1:19" ht="28" hidden="1" x14ac:dyDescent="0.2">
      <c r="A10" s="6">
        <v>9</v>
      </c>
      <c r="C10" s="6">
        <v>1</v>
      </c>
      <c r="D10" s="6" t="s">
        <v>1</v>
      </c>
      <c r="E10" s="6" t="s">
        <v>3</v>
      </c>
      <c r="F10" s="7" t="s">
        <v>25</v>
      </c>
      <c r="G10" s="6" t="s">
        <v>53</v>
      </c>
      <c r="I10" s="6" t="s">
        <v>58</v>
      </c>
      <c r="K10" s="9">
        <v>41183</v>
      </c>
      <c r="L10" s="6"/>
      <c r="M10" s="6"/>
      <c r="N10" s="6"/>
      <c r="Q10" s="7" t="s">
        <v>74</v>
      </c>
    </row>
    <row r="11" spans="1:19" ht="28" hidden="1" x14ac:dyDescent="0.2">
      <c r="A11" s="6">
        <v>10</v>
      </c>
      <c r="C11" s="6">
        <v>1</v>
      </c>
      <c r="D11" s="6" t="s">
        <v>1</v>
      </c>
      <c r="E11" s="6" t="s">
        <v>3</v>
      </c>
      <c r="F11" s="7" t="s">
        <v>26</v>
      </c>
      <c r="G11" s="6" t="s">
        <v>53</v>
      </c>
      <c r="I11" s="6" t="s">
        <v>58</v>
      </c>
      <c r="K11" s="9">
        <v>41183</v>
      </c>
      <c r="L11" s="6"/>
      <c r="M11" s="6"/>
      <c r="N11" s="6"/>
      <c r="Q11" s="7" t="s">
        <v>74</v>
      </c>
    </row>
    <row r="12" spans="1:19" ht="28" hidden="1" x14ac:dyDescent="0.2">
      <c r="A12" s="6">
        <v>11</v>
      </c>
      <c r="C12" s="6">
        <v>1</v>
      </c>
      <c r="D12" s="6" t="s">
        <v>1</v>
      </c>
      <c r="E12" s="6" t="s">
        <v>3</v>
      </c>
      <c r="F12" s="7" t="s">
        <v>27</v>
      </c>
      <c r="G12" s="6" t="s">
        <v>53</v>
      </c>
      <c r="I12" s="6" t="s">
        <v>58</v>
      </c>
      <c r="K12" s="9">
        <v>41183</v>
      </c>
      <c r="L12" s="6"/>
      <c r="M12" s="6"/>
      <c r="N12" s="6"/>
      <c r="Q12" s="7" t="s">
        <v>74</v>
      </c>
    </row>
    <row r="13" spans="1:19" ht="28" hidden="1" x14ac:dyDescent="0.2">
      <c r="A13" s="6">
        <v>12</v>
      </c>
      <c r="C13" s="6">
        <v>1</v>
      </c>
      <c r="D13" s="6" t="s">
        <v>28</v>
      </c>
      <c r="E13" s="6" t="s">
        <v>5</v>
      </c>
      <c r="F13" s="7" t="s">
        <v>30</v>
      </c>
      <c r="G13" s="6" t="s">
        <v>53</v>
      </c>
      <c r="I13" s="6" t="s">
        <v>58</v>
      </c>
      <c r="P13" s="7" t="s">
        <v>31</v>
      </c>
    </row>
    <row r="14" spans="1:19" ht="56" hidden="1" x14ac:dyDescent="0.2">
      <c r="A14" s="6">
        <v>13</v>
      </c>
      <c r="C14" s="6">
        <v>1</v>
      </c>
      <c r="D14" s="6" t="s">
        <v>28</v>
      </c>
      <c r="E14" s="6" t="s">
        <v>5</v>
      </c>
      <c r="F14" s="7" t="s">
        <v>32</v>
      </c>
      <c r="G14" s="6" t="s">
        <v>53</v>
      </c>
      <c r="I14" s="6" t="s">
        <v>58</v>
      </c>
      <c r="O14" s="8" t="s">
        <v>272</v>
      </c>
      <c r="P14" s="7" t="s">
        <v>33</v>
      </c>
      <c r="Q14" s="7" t="s">
        <v>66</v>
      </c>
    </row>
    <row r="15" spans="1:19" ht="28" hidden="1" x14ac:dyDescent="0.2">
      <c r="A15" s="6">
        <v>14</v>
      </c>
      <c r="C15" s="6">
        <v>1</v>
      </c>
      <c r="D15" s="6" t="s">
        <v>0</v>
      </c>
      <c r="E15" s="6" t="s">
        <v>3</v>
      </c>
      <c r="F15" s="7" t="s">
        <v>12</v>
      </c>
      <c r="G15" s="6" t="s">
        <v>54</v>
      </c>
      <c r="H15" s="6" t="s">
        <v>86</v>
      </c>
      <c r="I15" s="6" t="s">
        <v>58</v>
      </c>
      <c r="K15" s="9">
        <v>41183</v>
      </c>
      <c r="L15" s="6"/>
      <c r="M15" s="9">
        <v>41183</v>
      </c>
      <c r="N15" s="9"/>
      <c r="P15" s="7" t="s">
        <v>9</v>
      </c>
      <c r="Q15" s="7" t="s">
        <v>72</v>
      </c>
    </row>
    <row r="16" spans="1:19" ht="28" hidden="1" x14ac:dyDescent="0.2">
      <c r="A16" s="6">
        <v>15</v>
      </c>
      <c r="C16" s="6">
        <v>1</v>
      </c>
      <c r="D16" s="6" t="s">
        <v>0</v>
      </c>
      <c r="E16" s="6" t="s">
        <v>3</v>
      </c>
      <c r="F16" s="7" t="s">
        <v>13</v>
      </c>
      <c r="G16" s="6" t="s">
        <v>54</v>
      </c>
      <c r="I16" s="6" t="s">
        <v>58</v>
      </c>
      <c r="K16" s="9">
        <v>41183</v>
      </c>
      <c r="L16" s="6"/>
      <c r="M16" s="9">
        <v>41183</v>
      </c>
      <c r="N16" s="9"/>
      <c r="P16" s="7" t="s">
        <v>14</v>
      </c>
      <c r="Q16" s="7" t="s">
        <v>73</v>
      </c>
      <c r="R16" s="8" t="s">
        <v>84</v>
      </c>
    </row>
    <row r="17" spans="1:19" ht="56" hidden="1" x14ac:dyDescent="0.2">
      <c r="A17" s="6">
        <v>16</v>
      </c>
      <c r="C17" s="6">
        <v>1</v>
      </c>
      <c r="D17" s="6" t="s">
        <v>0</v>
      </c>
      <c r="E17" s="6" t="s">
        <v>3</v>
      </c>
      <c r="F17" s="7" t="s">
        <v>15</v>
      </c>
      <c r="G17" s="6" t="s">
        <v>54</v>
      </c>
      <c r="I17" s="6" t="s">
        <v>58</v>
      </c>
      <c r="K17" s="9">
        <v>41183</v>
      </c>
      <c r="L17" s="6"/>
      <c r="M17" s="9">
        <v>41183</v>
      </c>
      <c r="N17" s="9"/>
      <c r="P17" s="7" t="s">
        <v>11</v>
      </c>
      <c r="Q17" s="7" t="s">
        <v>78</v>
      </c>
    </row>
    <row r="18" spans="1:19" ht="84" hidden="1" x14ac:dyDescent="0.2">
      <c r="A18" s="6">
        <v>17</v>
      </c>
      <c r="C18" s="6">
        <v>1</v>
      </c>
      <c r="D18" s="6" t="s">
        <v>0</v>
      </c>
      <c r="E18" s="6" t="s">
        <v>5</v>
      </c>
      <c r="F18" s="7" t="s">
        <v>10</v>
      </c>
      <c r="G18" s="6" t="s">
        <v>54</v>
      </c>
      <c r="I18" s="6" t="s">
        <v>58</v>
      </c>
      <c r="K18" s="9">
        <v>41183</v>
      </c>
      <c r="L18" s="6"/>
      <c r="M18" s="9">
        <v>41183</v>
      </c>
      <c r="N18" s="9"/>
      <c r="Q18" s="7" t="s">
        <v>67</v>
      </c>
    </row>
    <row r="19" spans="1:19" hidden="1" x14ac:dyDescent="0.2">
      <c r="A19" s="6">
        <v>18</v>
      </c>
      <c r="C19" s="6">
        <v>1</v>
      </c>
      <c r="D19" s="6" t="s">
        <v>0</v>
      </c>
      <c r="E19" s="6" t="s">
        <v>3</v>
      </c>
      <c r="F19" s="7" t="s">
        <v>22</v>
      </c>
      <c r="G19" s="6" t="s">
        <v>54</v>
      </c>
      <c r="I19" s="6" t="s">
        <v>58</v>
      </c>
      <c r="K19" s="9">
        <v>41183</v>
      </c>
      <c r="L19" s="6"/>
      <c r="M19" s="9">
        <v>41183</v>
      </c>
      <c r="N19" s="9"/>
      <c r="Q19" s="7" t="s">
        <v>74</v>
      </c>
    </row>
    <row r="20" spans="1:19" ht="56" hidden="1" x14ac:dyDescent="0.2">
      <c r="A20" s="6">
        <v>19</v>
      </c>
      <c r="C20" s="6">
        <v>1</v>
      </c>
      <c r="D20" s="6" t="s">
        <v>0</v>
      </c>
      <c r="E20" s="6" t="s">
        <v>5</v>
      </c>
      <c r="F20" s="7" t="s">
        <v>23</v>
      </c>
      <c r="G20" s="6" t="s">
        <v>54</v>
      </c>
      <c r="I20" s="6" t="s">
        <v>58</v>
      </c>
      <c r="K20" s="9">
        <v>41183</v>
      </c>
      <c r="L20" s="6"/>
      <c r="M20" s="9">
        <v>41183</v>
      </c>
      <c r="N20" s="9"/>
      <c r="Q20" s="7" t="s">
        <v>75</v>
      </c>
    </row>
    <row r="21" spans="1:19" ht="56" hidden="1" x14ac:dyDescent="0.2">
      <c r="A21" s="6">
        <v>20</v>
      </c>
      <c r="C21" s="6">
        <v>1</v>
      </c>
      <c r="D21" s="6" t="s">
        <v>1</v>
      </c>
      <c r="E21" s="6" t="s">
        <v>3</v>
      </c>
      <c r="F21" s="7" t="s">
        <v>17</v>
      </c>
      <c r="G21" s="6" t="s">
        <v>54</v>
      </c>
      <c r="I21" s="6" t="s">
        <v>58</v>
      </c>
      <c r="K21" s="9">
        <v>41183</v>
      </c>
      <c r="L21" s="6"/>
      <c r="M21" s="9">
        <v>41183</v>
      </c>
      <c r="N21" s="9"/>
      <c r="Q21" s="7" t="s">
        <v>68</v>
      </c>
    </row>
    <row r="22" spans="1:19" ht="70" hidden="1" x14ac:dyDescent="0.2">
      <c r="A22" s="6">
        <v>21</v>
      </c>
      <c r="C22" s="6">
        <v>1</v>
      </c>
      <c r="D22" s="6" t="s">
        <v>0</v>
      </c>
      <c r="E22" s="6" t="s">
        <v>3</v>
      </c>
      <c r="F22" s="7" t="s">
        <v>180</v>
      </c>
      <c r="G22" s="6" t="s">
        <v>54</v>
      </c>
      <c r="H22" s="6" t="s">
        <v>86</v>
      </c>
      <c r="I22" s="6" t="s">
        <v>58</v>
      </c>
      <c r="J22" s="30">
        <v>42669</v>
      </c>
      <c r="K22" s="30">
        <v>42669</v>
      </c>
      <c r="N22" s="30">
        <v>42727</v>
      </c>
      <c r="O22" s="8" t="s">
        <v>367</v>
      </c>
      <c r="P22" s="7" t="s">
        <v>275</v>
      </c>
      <c r="Q22" s="7" t="s">
        <v>69</v>
      </c>
      <c r="R22" s="8" t="s">
        <v>82</v>
      </c>
    </row>
    <row r="23" spans="1:19" ht="28" hidden="1" x14ac:dyDescent="0.2">
      <c r="A23" s="6">
        <v>22</v>
      </c>
      <c r="C23" s="6">
        <v>1</v>
      </c>
      <c r="D23" s="6" t="s">
        <v>1</v>
      </c>
      <c r="E23" s="6" t="s">
        <v>3</v>
      </c>
      <c r="F23" s="7" t="s">
        <v>21</v>
      </c>
      <c r="G23" s="6" t="s">
        <v>54</v>
      </c>
      <c r="I23" s="6" t="s">
        <v>58</v>
      </c>
      <c r="K23" s="6"/>
      <c r="L23" s="6"/>
      <c r="M23" s="9">
        <v>43374</v>
      </c>
      <c r="N23" s="9"/>
      <c r="O23" s="10"/>
    </row>
    <row r="24" spans="1:19" ht="140" hidden="1" x14ac:dyDescent="0.2">
      <c r="A24" s="6">
        <v>23</v>
      </c>
      <c r="C24" s="6">
        <v>1</v>
      </c>
      <c r="D24" s="6" t="s">
        <v>0</v>
      </c>
      <c r="E24" s="6" t="s">
        <v>5</v>
      </c>
      <c r="F24" s="7" t="s">
        <v>50</v>
      </c>
      <c r="G24" s="6" t="s">
        <v>54</v>
      </c>
      <c r="I24" s="6" t="s">
        <v>58</v>
      </c>
      <c r="K24" s="6"/>
      <c r="L24" s="6"/>
      <c r="M24" s="6"/>
      <c r="N24" s="6"/>
      <c r="O24" s="8" t="s">
        <v>137</v>
      </c>
      <c r="P24" s="7" t="s">
        <v>6</v>
      </c>
      <c r="Q24" s="7" t="s">
        <v>70</v>
      </c>
      <c r="R24" s="8" t="s">
        <v>83</v>
      </c>
      <c r="S24" s="7" t="s">
        <v>121</v>
      </c>
    </row>
    <row r="25" spans="1:19" ht="28" hidden="1" x14ac:dyDescent="0.2">
      <c r="A25" s="6">
        <v>24</v>
      </c>
      <c r="C25" s="6">
        <v>1</v>
      </c>
      <c r="D25" s="6" t="s">
        <v>0</v>
      </c>
      <c r="E25" s="6" t="s">
        <v>3</v>
      </c>
      <c r="F25" s="7" t="s">
        <v>7</v>
      </c>
      <c r="G25" s="6" t="s">
        <v>54</v>
      </c>
      <c r="I25" s="6" t="s">
        <v>58</v>
      </c>
      <c r="O25" s="8" t="s">
        <v>273</v>
      </c>
      <c r="P25" s="7" t="s">
        <v>151</v>
      </c>
      <c r="Q25" s="7" t="s">
        <v>71</v>
      </c>
      <c r="R25" s="8" t="s">
        <v>103</v>
      </c>
    </row>
    <row r="26" spans="1:19" ht="28" hidden="1" x14ac:dyDescent="0.2">
      <c r="A26" s="6">
        <v>25</v>
      </c>
      <c r="C26" s="6">
        <v>1</v>
      </c>
      <c r="D26" s="6" t="s">
        <v>0</v>
      </c>
      <c r="E26" s="6" t="s">
        <v>3</v>
      </c>
      <c r="F26" s="7" t="s">
        <v>8</v>
      </c>
      <c r="G26" s="6" t="s">
        <v>54</v>
      </c>
      <c r="I26" s="6" t="s">
        <v>58</v>
      </c>
      <c r="O26" s="8" t="s">
        <v>273</v>
      </c>
      <c r="R26" s="8" t="s">
        <v>103</v>
      </c>
    </row>
    <row r="27" spans="1:19" ht="210" hidden="1" x14ac:dyDescent="0.2">
      <c r="A27" s="6">
        <v>26</v>
      </c>
      <c r="C27" s="6">
        <v>1</v>
      </c>
      <c r="D27" s="6" t="s">
        <v>0</v>
      </c>
      <c r="E27" s="6" t="s">
        <v>3</v>
      </c>
      <c r="F27" s="7" t="s">
        <v>45</v>
      </c>
      <c r="G27" s="6" t="s">
        <v>54</v>
      </c>
      <c r="H27" s="6" t="s">
        <v>127</v>
      </c>
      <c r="I27" s="6" t="s">
        <v>58</v>
      </c>
      <c r="K27" s="9">
        <v>44470</v>
      </c>
      <c r="L27" s="6"/>
      <c r="M27" s="9">
        <v>45566</v>
      </c>
      <c r="N27" s="9"/>
      <c r="O27" s="8" t="s">
        <v>168</v>
      </c>
      <c r="P27" s="7" t="s">
        <v>46</v>
      </c>
      <c r="Q27" s="7" t="s">
        <v>76</v>
      </c>
      <c r="R27" s="8" t="s">
        <v>104</v>
      </c>
      <c r="S27" s="7" t="s">
        <v>119</v>
      </c>
    </row>
    <row r="28" spans="1:19" ht="42" x14ac:dyDescent="0.2">
      <c r="A28" s="6">
        <v>27</v>
      </c>
      <c r="C28" s="6">
        <v>1</v>
      </c>
      <c r="D28" s="6" t="s">
        <v>1</v>
      </c>
      <c r="E28" s="6" t="s">
        <v>3</v>
      </c>
      <c r="F28" s="7" t="s">
        <v>16</v>
      </c>
      <c r="G28" s="6" t="s">
        <v>51</v>
      </c>
      <c r="H28" s="6" t="s">
        <v>150</v>
      </c>
      <c r="I28" s="6" t="s">
        <v>60</v>
      </c>
      <c r="J28" s="30">
        <v>42655</v>
      </c>
      <c r="K28" s="30">
        <v>42655</v>
      </c>
      <c r="P28" s="7" t="s">
        <v>134</v>
      </c>
      <c r="R28" s="8" t="s">
        <v>104</v>
      </c>
    </row>
    <row r="29" spans="1:19" ht="28" x14ac:dyDescent="0.2">
      <c r="A29" s="6">
        <v>28</v>
      </c>
      <c r="C29" s="6">
        <v>1</v>
      </c>
      <c r="D29" s="6" t="s">
        <v>1</v>
      </c>
      <c r="E29" s="6" t="s">
        <v>3</v>
      </c>
      <c r="F29" s="7" t="s">
        <v>18</v>
      </c>
      <c r="G29" s="6" t="s">
        <v>54</v>
      </c>
      <c r="H29" s="6" t="s">
        <v>150</v>
      </c>
      <c r="I29" s="6" t="s">
        <v>60</v>
      </c>
      <c r="J29" s="30">
        <v>42655</v>
      </c>
      <c r="K29" s="30">
        <v>42655</v>
      </c>
      <c r="P29" s="7" t="s">
        <v>183</v>
      </c>
      <c r="Q29" s="7" t="s">
        <v>77</v>
      </c>
    </row>
    <row r="30" spans="1:19" ht="70" hidden="1" x14ac:dyDescent="0.2">
      <c r="A30" s="6">
        <v>29</v>
      </c>
      <c r="C30" s="6">
        <v>1</v>
      </c>
      <c r="D30" s="6" t="s">
        <v>1</v>
      </c>
      <c r="E30" s="6" t="s">
        <v>3</v>
      </c>
      <c r="F30" s="7" t="s">
        <v>19</v>
      </c>
      <c r="G30" s="6" t="s">
        <v>54</v>
      </c>
      <c r="H30" s="6" t="s">
        <v>150</v>
      </c>
      <c r="I30" s="6" t="s">
        <v>58</v>
      </c>
      <c r="K30" s="9">
        <v>44470</v>
      </c>
      <c r="L30" s="6"/>
      <c r="M30" s="6"/>
      <c r="N30" s="6"/>
      <c r="O30" s="8" t="s">
        <v>139</v>
      </c>
    </row>
    <row r="31" spans="1:19" ht="28" hidden="1" x14ac:dyDescent="0.2">
      <c r="A31" s="6">
        <v>30</v>
      </c>
      <c r="C31" s="6">
        <v>1</v>
      </c>
      <c r="D31" s="6" t="s">
        <v>1</v>
      </c>
      <c r="E31" s="6" t="s">
        <v>3</v>
      </c>
      <c r="F31" s="7" t="s">
        <v>20</v>
      </c>
      <c r="G31" s="6" t="s">
        <v>54</v>
      </c>
      <c r="H31" s="6" t="s">
        <v>150</v>
      </c>
      <c r="I31" s="6" t="s">
        <v>58</v>
      </c>
      <c r="K31" s="9">
        <v>44470</v>
      </c>
      <c r="L31" s="6"/>
      <c r="M31" s="6"/>
      <c r="N31" s="6"/>
      <c r="O31" s="8" t="s">
        <v>138</v>
      </c>
    </row>
    <row r="32" spans="1:19" ht="56" hidden="1" x14ac:dyDescent="0.2">
      <c r="A32" s="6">
        <v>31</v>
      </c>
      <c r="C32" s="6">
        <v>1</v>
      </c>
      <c r="D32" s="6" t="s">
        <v>28</v>
      </c>
      <c r="E32" s="6" t="s">
        <v>5</v>
      </c>
      <c r="F32" s="7" t="s">
        <v>35</v>
      </c>
      <c r="G32" s="6" t="s">
        <v>53</v>
      </c>
      <c r="H32" s="6" t="s">
        <v>127</v>
      </c>
      <c r="I32" s="6" t="s">
        <v>58</v>
      </c>
      <c r="J32" s="30">
        <v>41183</v>
      </c>
      <c r="K32" s="30">
        <v>41183</v>
      </c>
      <c r="O32" s="7" t="s">
        <v>203</v>
      </c>
      <c r="Q32" s="7" t="s">
        <v>66</v>
      </c>
    </row>
    <row r="33" spans="1:19" ht="56" hidden="1" x14ac:dyDescent="0.2">
      <c r="A33" s="6">
        <v>32</v>
      </c>
      <c r="C33" s="6">
        <v>1</v>
      </c>
      <c r="D33" s="6" t="s">
        <v>28</v>
      </c>
      <c r="E33" s="6" t="s">
        <v>5</v>
      </c>
      <c r="F33" s="7" t="s">
        <v>36</v>
      </c>
      <c r="G33" s="6" t="s">
        <v>53</v>
      </c>
      <c r="H33" s="6" t="s">
        <v>127</v>
      </c>
      <c r="I33" s="6" t="s">
        <v>58</v>
      </c>
      <c r="J33" s="30">
        <v>41183</v>
      </c>
      <c r="K33" s="30">
        <v>41183</v>
      </c>
      <c r="Q33" s="7" t="s">
        <v>66</v>
      </c>
    </row>
    <row r="34" spans="1:19" ht="56" hidden="1" x14ac:dyDescent="0.2">
      <c r="A34" s="6">
        <v>33</v>
      </c>
      <c r="C34" s="6">
        <v>1</v>
      </c>
      <c r="D34" s="6" t="s">
        <v>28</v>
      </c>
      <c r="E34" s="6" t="s">
        <v>5</v>
      </c>
      <c r="F34" s="7" t="s">
        <v>37</v>
      </c>
      <c r="G34" s="6" t="s">
        <v>53</v>
      </c>
      <c r="H34" s="6" t="s">
        <v>127</v>
      </c>
      <c r="I34" s="6" t="s">
        <v>59</v>
      </c>
      <c r="K34" s="30">
        <v>41183</v>
      </c>
      <c r="O34" s="8" t="s">
        <v>274</v>
      </c>
      <c r="Q34" s="7" t="s">
        <v>66</v>
      </c>
    </row>
    <row r="35" spans="1:19" ht="28" hidden="1" x14ac:dyDescent="0.2">
      <c r="A35" s="6">
        <v>34</v>
      </c>
      <c r="C35" s="6">
        <v>1</v>
      </c>
      <c r="D35" s="6" t="s">
        <v>41</v>
      </c>
      <c r="E35" s="6" t="s">
        <v>3</v>
      </c>
      <c r="F35" s="7" t="s">
        <v>39</v>
      </c>
      <c r="G35" s="6" t="s">
        <v>54</v>
      </c>
      <c r="H35" s="6" t="s">
        <v>150</v>
      </c>
      <c r="I35" s="6" t="s">
        <v>58</v>
      </c>
      <c r="K35" s="9">
        <v>42655</v>
      </c>
      <c r="L35" s="6"/>
      <c r="M35" s="6"/>
      <c r="N35" s="6"/>
      <c r="O35" s="8" t="s">
        <v>185</v>
      </c>
    </row>
    <row r="36" spans="1:19" ht="28" x14ac:dyDescent="0.2">
      <c r="A36" s="6">
        <v>35</v>
      </c>
      <c r="C36" s="6">
        <v>1</v>
      </c>
      <c r="D36" s="6" t="s">
        <v>41</v>
      </c>
      <c r="E36" s="6" t="s">
        <v>3</v>
      </c>
      <c r="F36" s="7" t="s">
        <v>40</v>
      </c>
      <c r="G36" s="6" t="s">
        <v>54</v>
      </c>
      <c r="H36" s="6" t="s">
        <v>150</v>
      </c>
      <c r="I36" s="6" t="s">
        <v>60</v>
      </c>
      <c r="J36" s="30">
        <v>42655</v>
      </c>
      <c r="M36" s="30">
        <v>42686</v>
      </c>
    </row>
    <row r="37" spans="1:19" ht="28" hidden="1" x14ac:dyDescent="0.2">
      <c r="A37" s="6">
        <v>36</v>
      </c>
      <c r="C37" s="6">
        <v>1</v>
      </c>
      <c r="D37" s="6" t="s">
        <v>41</v>
      </c>
      <c r="E37" s="6" t="s">
        <v>3</v>
      </c>
      <c r="F37" s="7" t="s">
        <v>186</v>
      </c>
      <c r="G37" s="6" t="s">
        <v>54</v>
      </c>
      <c r="H37" s="6" t="s">
        <v>150</v>
      </c>
      <c r="I37" s="6" t="s">
        <v>58</v>
      </c>
      <c r="K37" s="9">
        <v>42655</v>
      </c>
      <c r="L37" s="6"/>
      <c r="M37" s="6"/>
      <c r="N37" s="6"/>
      <c r="P37" s="7" t="s">
        <v>79</v>
      </c>
    </row>
    <row r="38" spans="1:19" ht="56" hidden="1" x14ac:dyDescent="0.2">
      <c r="A38" s="6">
        <v>37</v>
      </c>
      <c r="C38" s="6">
        <v>1</v>
      </c>
      <c r="D38" s="6" t="s">
        <v>41</v>
      </c>
      <c r="E38" s="6" t="s">
        <v>3</v>
      </c>
      <c r="F38" s="7" t="s">
        <v>43</v>
      </c>
      <c r="G38" s="6" t="s">
        <v>54</v>
      </c>
      <c r="H38" s="6" t="s">
        <v>150</v>
      </c>
      <c r="I38" s="6" t="s">
        <v>58</v>
      </c>
      <c r="K38" s="9">
        <v>41183</v>
      </c>
      <c r="L38" s="6"/>
      <c r="M38" s="6">
        <v>41183</v>
      </c>
      <c r="N38" s="6"/>
      <c r="O38" s="8" t="s">
        <v>44</v>
      </c>
      <c r="Q38" s="7" t="s">
        <v>80</v>
      </c>
    </row>
    <row r="39" spans="1:19" ht="28" hidden="1" x14ac:dyDescent="0.2">
      <c r="A39" s="6">
        <v>38</v>
      </c>
      <c r="C39" s="6">
        <v>1</v>
      </c>
      <c r="D39" s="6" t="s">
        <v>41</v>
      </c>
      <c r="E39" s="6" t="s">
        <v>5</v>
      </c>
      <c r="F39" s="7" t="s">
        <v>42</v>
      </c>
      <c r="G39" s="6" t="s">
        <v>54</v>
      </c>
      <c r="H39" s="6" t="s">
        <v>167</v>
      </c>
      <c r="I39" s="6" t="s">
        <v>58</v>
      </c>
      <c r="K39" s="9">
        <v>42655</v>
      </c>
      <c r="L39" s="6"/>
      <c r="M39" s="6"/>
      <c r="N39" s="6"/>
    </row>
    <row r="40" spans="1:19" ht="28" hidden="1" x14ac:dyDescent="0.2">
      <c r="A40" s="6">
        <v>39</v>
      </c>
      <c r="C40" s="6">
        <v>1</v>
      </c>
      <c r="D40" s="6" t="s">
        <v>41</v>
      </c>
      <c r="E40" s="6" t="s">
        <v>5</v>
      </c>
      <c r="F40" s="7" t="s">
        <v>106</v>
      </c>
      <c r="G40" s="6" t="s">
        <v>54</v>
      </c>
      <c r="I40" s="6" t="s">
        <v>59</v>
      </c>
      <c r="K40" s="9">
        <v>41183</v>
      </c>
      <c r="L40" s="6"/>
      <c r="M40" s="6"/>
      <c r="N40" s="6"/>
    </row>
    <row r="41" spans="1:19" ht="28" hidden="1" x14ac:dyDescent="0.2">
      <c r="A41" s="6">
        <v>40</v>
      </c>
      <c r="C41" s="6">
        <v>1</v>
      </c>
      <c r="D41" s="6" t="s">
        <v>41</v>
      </c>
      <c r="E41" s="6" t="s">
        <v>5</v>
      </c>
      <c r="F41" s="7" t="s">
        <v>107</v>
      </c>
      <c r="G41" s="6" t="s">
        <v>54</v>
      </c>
      <c r="I41" s="6" t="s">
        <v>59</v>
      </c>
      <c r="K41" s="9">
        <v>41183</v>
      </c>
      <c r="L41" s="6"/>
      <c r="M41" s="6"/>
      <c r="N41" s="6"/>
    </row>
    <row r="42" spans="1:19" ht="28" hidden="1" x14ac:dyDescent="0.2">
      <c r="A42" s="6">
        <v>41</v>
      </c>
      <c r="C42" s="6">
        <v>1</v>
      </c>
      <c r="D42" s="6" t="s">
        <v>28</v>
      </c>
      <c r="E42" s="6" t="s">
        <v>3</v>
      </c>
      <c r="F42" s="7" t="s">
        <v>108</v>
      </c>
      <c r="G42" s="6" t="s">
        <v>54</v>
      </c>
      <c r="H42" s="6" t="s">
        <v>127</v>
      </c>
      <c r="I42" s="6" t="s">
        <v>59</v>
      </c>
      <c r="K42" s="9">
        <v>44470</v>
      </c>
      <c r="L42" s="6"/>
      <c r="M42" s="6">
        <v>45566</v>
      </c>
      <c r="N42" s="6"/>
      <c r="O42" s="8" t="s">
        <v>126</v>
      </c>
      <c r="S42" s="7" t="s">
        <v>117</v>
      </c>
    </row>
    <row r="43" spans="1:19" ht="28" hidden="1" x14ac:dyDescent="0.2">
      <c r="A43" s="6">
        <v>42</v>
      </c>
      <c r="C43" s="6">
        <v>1</v>
      </c>
      <c r="D43" s="6" t="s">
        <v>28</v>
      </c>
      <c r="E43" s="6" t="s">
        <v>3</v>
      </c>
      <c r="F43" s="7" t="s">
        <v>116</v>
      </c>
      <c r="G43" s="6" t="s">
        <v>54</v>
      </c>
      <c r="H43" s="6" t="s">
        <v>127</v>
      </c>
      <c r="I43" s="6" t="s">
        <v>58</v>
      </c>
      <c r="K43" s="9">
        <v>44470</v>
      </c>
      <c r="L43" s="6"/>
      <c r="M43" s="6">
        <v>45566</v>
      </c>
      <c r="N43" s="6"/>
      <c r="O43" s="8" t="s">
        <v>166</v>
      </c>
      <c r="S43" s="7" t="s">
        <v>117</v>
      </c>
    </row>
    <row r="44" spans="1:19" ht="28" hidden="1" x14ac:dyDescent="0.2">
      <c r="A44" s="6">
        <v>43</v>
      </c>
      <c r="C44" s="6">
        <v>1</v>
      </c>
      <c r="D44" s="6" t="s">
        <v>28</v>
      </c>
      <c r="E44" s="6" t="s">
        <v>3</v>
      </c>
      <c r="F44" s="7" t="s">
        <v>188</v>
      </c>
      <c r="G44" s="6" t="s">
        <v>54</v>
      </c>
      <c r="H44" s="6" t="s">
        <v>127</v>
      </c>
      <c r="I44" s="6" t="s">
        <v>58</v>
      </c>
      <c r="K44" s="9">
        <v>42664</v>
      </c>
      <c r="L44" s="6"/>
      <c r="M44" s="6">
        <v>42671</v>
      </c>
      <c r="N44" s="6"/>
      <c r="S44" s="7" t="s">
        <v>117</v>
      </c>
    </row>
    <row r="45" spans="1:19" ht="28" hidden="1" x14ac:dyDescent="0.2">
      <c r="A45" s="6">
        <v>44</v>
      </c>
      <c r="C45" s="6">
        <v>1</v>
      </c>
      <c r="D45" s="6" t="s">
        <v>0</v>
      </c>
      <c r="E45" s="6" t="s">
        <v>97</v>
      </c>
      <c r="F45" s="7" t="s">
        <v>85</v>
      </c>
      <c r="G45" s="6" t="s">
        <v>54</v>
      </c>
      <c r="H45" s="6" t="s">
        <v>86</v>
      </c>
      <c r="I45" s="6" t="s">
        <v>58</v>
      </c>
      <c r="K45" s="30">
        <v>42655</v>
      </c>
    </row>
    <row r="46" spans="1:19" ht="28" hidden="1" x14ac:dyDescent="0.2">
      <c r="A46" s="6">
        <v>45</v>
      </c>
      <c r="C46" s="6">
        <v>1</v>
      </c>
      <c r="D46" s="6" t="s">
        <v>0</v>
      </c>
      <c r="E46" s="6" t="s">
        <v>97</v>
      </c>
      <c r="F46" s="7" t="s">
        <v>87</v>
      </c>
      <c r="G46" s="6" t="s">
        <v>54</v>
      </c>
      <c r="H46" s="6" t="s">
        <v>95</v>
      </c>
      <c r="I46" s="6" t="s">
        <v>59</v>
      </c>
      <c r="K46" s="30">
        <v>42655</v>
      </c>
      <c r="O46" s="8" t="s">
        <v>276</v>
      </c>
    </row>
    <row r="47" spans="1:19" ht="42" hidden="1" x14ac:dyDescent="0.2">
      <c r="A47" s="6">
        <v>46</v>
      </c>
      <c r="C47" s="6">
        <v>1</v>
      </c>
      <c r="D47" s="6" t="s">
        <v>0</v>
      </c>
      <c r="E47" s="6" t="s">
        <v>97</v>
      </c>
      <c r="F47" s="7" t="s">
        <v>88</v>
      </c>
      <c r="G47" s="6" t="s">
        <v>54</v>
      </c>
      <c r="H47" s="6" t="s">
        <v>86</v>
      </c>
      <c r="I47" s="6" t="s">
        <v>58</v>
      </c>
      <c r="K47" s="9">
        <v>44470</v>
      </c>
      <c r="L47" s="6"/>
      <c r="M47" s="6">
        <v>45931</v>
      </c>
      <c r="N47" s="6"/>
      <c r="O47" s="7" t="s">
        <v>140</v>
      </c>
    </row>
    <row r="48" spans="1:19" ht="42" hidden="1" x14ac:dyDescent="0.2">
      <c r="A48" s="6">
        <v>47</v>
      </c>
      <c r="C48" s="6">
        <v>1</v>
      </c>
      <c r="D48" s="6" t="s">
        <v>0</v>
      </c>
      <c r="E48" s="6" t="s">
        <v>97</v>
      </c>
      <c r="F48" s="7" t="s">
        <v>89</v>
      </c>
      <c r="G48" s="6" t="s">
        <v>54</v>
      </c>
      <c r="H48" s="6" t="s">
        <v>98</v>
      </c>
      <c r="I48" s="6" t="s">
        <v>59</v>
      </c>
      <c r="K48" s="9">
        <v>43739</v>
      </c>
      <c r="L48" s="6"/>
      <c r="M48" s="6">
        <v>46296</v>
      </c>
      <c r="N48" s="6"/>
      <c r="O48" s="10" t="s">
        <v>142</v>
      </c>
      <c r="P48" s="10" t="s">
        <v>141</v>
      </c>
    </row>
    <row r="49" spans="1:16" ht="56" hidden="1" x14ac:dyDescent="0.2">
      <c r="A49" s="6">
        <v>48</v>
      </c>
      <c r="C49" s="6">
        <v>1</v>
      </c>
      <c r="D49" s="6" t="s">
        <v>0</v>
      </c>
      <c r="E49" s="6" t="s">
        <v>97</v>
      </c>
      <c r="F49" s="7" t="s">
        <v>90</v>
      </c>
      <c r="G49" s="6" t="s">
        <v>54</v>
      </c>
      <c r="H49" s="6" t="s">
        <v>95</v>
      </c>
      <c r="I49" s="6" t="s">
        <v>58</v>
      </c>
      <c r="K49" s="30">
        <v>42661</v>
      </c>
      <c r="M49" s="30" t="s">
        <v>204</v>
      </c>
      <c r="O49" s="8" t="s">
        <v>205</v>
      </c>
      <c r="P49" s="7" t="s">
        <v>143</v>
      </c>
    </row>
    <row r="50" spans="1:16" ht="28" hidden="1" x14ac:dyDescent="0.2">
      <c r="A50" s="6">
        <v>49</v>
      </c>
      <c r="C50" s="6">
        <v>1</v>
      </c>
      <c r="D50" s="6" t="s">
        <v>0</v>
      </c>
      <c r="E50" s="6" t="s">
        <v>97</v>
      </c>
      <c r="F50" s="7" t="s">
        <v>91</v>
      </c>
      <c r="G50" s="6" t="s">
        <v>54</v>
      </c>
      <c r="H50" s="6" t="s">
        <v>96</v>
      </c>
      <c r="I50" s="6" t="s">
        <v>58</v>
      </c>
      <c r="K50" s="30">
        <v>42661</v>
      </c>
      <c r="O50" s="8" t="s">
        <v>372</v>
      </c>
      <c r="P50" s="7" t="s">
        <v>134</v>
      </c>
    </row>
    <row r="51" spans="1:16" hidden="1" x14ac:dyDescent="0.2">
      <c r="A51" s="6">
        <v>50</v>
      </c>
      <c r="C51" s="6">
        <v>1</v>
      </c>
      <c r="D51" s="6" t="s">
        <v>0</v>
      </c>
      <c r="E51" s="6" t="s">
        <v>97</v>
      </c>
      <c r="F51" s="7" t="s">
        <v>92</v>
      </c>
      <c r="G51" s="6" t="s">
        <v>54</v>
      </c>
      <c r="H51" s="6" t="s">
        <v>144</v>
      </c>
      <c r="I51" s="6" t="s">
        <v>58</v>
      </c>
      <c r="J51" s="30">
        <v>42676</v>
      </c>
      <c r="K51" s="30">
        <v>42676</v>
      </c>
      <c r="M51" s="30">
        <v>42692</v>
      </c>
      <c r="N51" s="30">
        <v>42695</v>
      </c>
    </row>
    <row r="52" spans="1:16" ht="28" hidden="1" x14ac:dyDescent="0.2">
      <c r="A52" s="6">
        <v>51</v>
      </c>
      <c r="C52" s="6">
        <v>1</v>
      </c>
      <c r="D52" s="6" t="s">
        <v>0</v>
      </c>
      <c r="E52" s="6" t="s">
        <v>97</v>
      </c>
      <c r="F52" s="7" t="s">
        <v>93</v>
      </c>
      <c r="G52" s="6" t="s">
        <v>54</v>
      </c>
      <c r="H52" s="6" t="s">
        <v>86</v>
      </c>
      <c r="I52" s="6" t="s">
        <v>58</v>
      </c>
      <c r="J52" s="30">
        <v>42661</v>
      </c>
      <c r="K52" s="30">
        <v>42688</v>
      </c>
      <c r="M52" s="30">
        <v>42692</v>
      </c>
      <c r="O52" s="10" t="s">
        <v>357</v>
      </c>
      <c r="P52" s="7" t="s">
        <v>190</v>
      </c>
    </row>
    <row r="53" spans="1:16" hidden="1" x14ac:dyDescent="0.2">
      <c r="A53" s="6">
        <v>52</v>
      </c>
      <c r="C53" s="6">
        <v>1</v>
      </c>
      <c r="D53" s="6" t="s">
        <v>0</v>
      </c>
      <c r="E53" s="6" t="s">
        <v>97</v>
      </c>
      <c r="F53" s="7" t="s">
        <v>112</v>
      </c>
      <c r="G53" s="6" t="s">
        <v>54</v>
      </c>
      <c r="H53" s="6" t="s">
        <v>95</v>
      </c>
      <c r="I53" s="6" t="s">
        <v>59</v>
      </c>
      <c r="K53" s="9"/>
      <c r="L53" s="6"/>
      <c r="M53" s="6"/>
      <c r="N53" s="6"/>
      <c r="O53" s="8" t="s">
        <v>145</v>
      </c>
    </row>
    <row r="54" spans="1:16" ht="28" hidden="1" x14ac:dyDescent="0.2">
      <c r="A54" s="6">
        <v>53</v>
      </c>
      <c r="C54" s="6">
        <v>1</v>
      </c>
      <c r="D54" s="6" t="s">
        <v>0</v>
      </c>
      <c r="E54" s="6" t="s">
        <v>5</v>
      </c>
      <c r="F54" s="7" t="s">
        <v>124</v>
      </c>
      <c r="G54" s="6" t="s">
        <v>54</v>
      </c>
      <c r="H54" s="6" t="s">
        <v>86</v>
      </c>
      <c r="I54" s="6" t="s">
        <v>58</v>
      </c>
      <c r="K54" s="9">
        <v>42655</v>
      </c>
      <c r="L54" s="6"/>
      <c r="M54" s="6">
        <v>42669</v>
      </c>
      <c r="N54" s="6"/>
      <c r="O54" s="8" t="s">
        <v>191</v>
      </c>
    </row>
    <row r="55" spans="1:16" ht="28" hidden="1" x14ac:dyDescent="0.2">
      <c r="A55" s="6">
        <v>54</v>
      </c>
      <c r="C55" s="6">
        <v>1</v>
      </c>
      <c r="D55" s="6" t="s">
        <v>41</v>
      </c>
      <c r="E55" s="6" t="s">
        <v>97</v>
      </c>
      <c r="F55" s="7" t="s">
        <v>125</v>
      </c>
      <c r="G55" s="6" t="s">
        <v>54</v>
      </c>
      <c r="H55" s="6" t="s">
        <v>86</v>
      </c>
      <c r="I55" s="6" t="s">
        <v>58</v>
      </c>
      <c r="K55" s="9">
        <v>44470</v>
      </c>
      <c r="L55" s="6"/>
      <c r="M55" s="6">
        <v>45566</v>
      </c>
      <c r="N55" s="6"/>
    </row>
    <row r="56" spans="1:16" ht="42" hidden="1" x14ac:dyDescent="0.2">
      <c r="A56" s="6">
        <v>55</v>
      </c>
      <c r="C56" s="6">
        <v>1</v>
      </c>
      <c r="D56" s="6" t="s">
        <v>0</v>
      </c>
      <c r="E56" s="6" t="s">
        <v>5</v>
      </c>
      <c r="F56" s="7" t="s">
        <v>129</v>
      </c>
      <c r="G56" s="6" t="s">
        <v>54</v>
      </c>
      <c r="H56" s="6" t="s">
        <v>86</v>
      </c>
      <c r="I56" s="6" t="s">
        <v>58</v>
      </c>
      <c r="K56" s="30">
        <v>42668</v>
      </c>
      <c r="O56" s="8" t="s">
        <v>358</v>
      </c>
      <c r="P56" s="7" t="s">
        <v>198</v>
      </c>
    </row>
    <row r="57" spans="1:16" ht="42" hidden="1" x14ac:dyDescent="0.2">
      <c r="A57" s="6">
        <v>56</v>
      </c>
      <c r="C57" s="6">
        <v>1</v>
      </c>
      <c r="D57" s="6" t="s">
        <v>0</v>
      </c>
      <c r="E57" s="6" t="s">
        <v>97</v>
      </c>
      <c r="F57" s="7" t="s">
        <v>193</v>
      </c>
      <c r="G57" s="6" t="s">
        <v>54</v>
      </c>
      <c r="H57" s="6" t="s">
        <v>86</v>
      </c>
      <c r="I57" s="6" t="s">
        <v>58</v>
      </c>
      <c r="K57" s="30">
        <v>42669</v>
      </c>
      <c r="M57" s="30">
        <v>42678</v>
      </c>
      <c r="O57" s="8" t="s">
        <v>206</v>
      </c>
    </row>
    <row r="58" spans="1:16" ht="70" hidden="1" x14ac:dyDescent="0.2">
      <c r="A58" s="6">
        <v>57</v>
      </c>
      <c r="C58" s="6">
        <v>1</v>
      </c>
      <c r="D58" s="6" t="s">
        <v>0</v>
      </c>
      <c r="E58" s="6" t="s">
        <v>97</v>
      </c>
      <c r="F58" s="7" t="s">
        <v>146</v>
      </c>
      <c r="G58" s="6" t="s">
        <v>54</v>
      </c>
      <c r="H58" s="6" t="s">
        <v>98</v>
      </c>
      <c r="I58" s="6" t="s">
        <v>58</v>
      </c>
      <c r="K58" s="9">
        <v>45931</v>
      </c>
      <c r="L58" s="6"/>
      <c r="M58" s="6">
        <v>45931</v>
      </c>
      <c r="N58" s="6"/>
      <c r="O58" s="8" t="s">
        <v>169</v>
      </c>
      <c r="P58" s="10" t="s">
        <v>141</v>
      </c>
    </row>
    <row r="59" spans="1:16" ht="56" hidden="1" x14ac:dyDescent="0.2">
      <c r="A59" s="6">
        <v>58</v>
      </c>
      <c r="C59" s="6">
        <v>1</v>
      </c>
      <c r="D59" s="6" t="s">
        <v>0</v>
      </c>
      <c r="E59" s="6" t="s">
        <v>5</v>
      </c>
      <c r="F59" s="7" t="s">
        <v>148</v>
      </c>
      <c r="G59" s="6" t="s">
        <v>54</v>
      </c>
      <c r="H59" s="6" t="s">
        <v>127</v>
      </c>
      <c r="I59" s="6" t="s">
        <v>58</v>
      </c>
      <c r="J59" s="30">
        <v>42664</v>
      </c>
      <c r="K59" s="30">
        <v>42664</v>
      </c>
      <c r="N59" s="30">
        <v>42685</v>
      </c>
      <c r="P59" s="7" t="s">
        <v>207</v>
      </c>
    </row>
    <row r="60" spans="1:16" ht="42" x14ac:dyDescent="0.2">
      <c r="A60" s="6">
        <v>59</v>
      </c>
      <c r="C60" s="6">
        <v>1</v>
      </c>
      <c r="D60" s="6" t="s">
        <v>0</v>
      </c>
      <c r="E60" s="6" t="s">
        <v>3</v>
      </c>
      <c r="F60" s="7" t="s">
        <v>149</v>
      </c>
      <c r="G60" s="6" t="s">
        <v>51</v>
      </c>
      <c r="H60" s="6" t="s">
        <v>150</v>
      </c>
      <c r="I60" s="6" t="s">
        <v>60</v>
      </c>
      <c r="K60" s="30">
        <v>42664</v>
      </c>
      <c r="O60" s="8" t="s">
        <v>366</v>
      </c>
      <c r="P60" s="7" t="s">
        <v>359</v>
      </c>
    </row>
    <row r="61" spans="1:16" ht="42" hidden="1" x14ac:dyDescent="0.2">
      <c r="A61" s="6">
        <v>60</v>
      </c>
      <c r="C61" s="6">
        <v>1</v>
      </c>
      <c r="D61" s="6" t="s">
        <v>0</v>
      </c>
      <c r="E61" s="6" t="s">
        <v>5</v>
      </c>
      <c r="F61" s="7" t="s">
        <v>133</v>
      </c>
      <c r="G61" s="6" t="s">
        <v>54</v>
      </c>
      <c r="H61" s="6" t="s">
        <v>127</v>
      </c>
      <c r="I61" s="6" t="s">
        <v>59</v>
      </c>
      <c r="K61" s="30">
        <v>42668</v>
      </c>
      <c r="O61" s="8" t="s">
        <v>277</v>
      </c>
    </row>
    <row r="62" spans="1:16" ht="28" x14ac:dyDescent="0.2">
      <c r="A62" s="6">
        <v>61</v>
      </c>
      <c r="C62" s="6">
        <v>1</v>
      </c>
      <c r="D62" s="6" t="s">
        <v>41</v>
      </c>
      <c r="E62" s="6" t="s">
        <v>97</v>
      </c>
      <c r="F62" s="7" t="s">
        <v>174</v>
      </c>
      <c r="G62" s="6" t="s">
        <v>54</v>
      </c>
      <c r="H62" s="6" t="s">
        <v>95</v>
      </c>
      <c r="I62" s="6" t="s">
        <v>56</v>
      </c>
      <c r="J62" s="30">
        <v>42671</v>
      </c>
      <c r="K62" s="30">
        <v>42671</v>
      </c>
      <c r="P62" s="7" t="s">
        <v>360</v>
      </c>
    </row>
    <row r="63" spans="1:16" ht="28" hidden="1" x14ac:dyDescent="0.2">
      <c r="A63" s="6">
        <v>62</v>
      </c>
      <c r="C63" s="6">
        <v>1</v>
      </c>
      <c r="D63" s="6" t="s">
        <v>41</v>
      </c>
      <c r="E63" s="6" t="s">
        <v>97</v>
      </c>
      <c r="F63" s="7" t="s">
        <v>175</v>
      </c>
      <c r="G63" s="6" t="s">
        <v>54</v>
      </c>
      <c r="H63" s="6" t="s">
        <v>86</v>
      </c>
      <c r="I63" s="6" t="s">
        <v>58</v>
      </c>
      <c r="K63" s="30">
        <v>42669</v>
      </c>
      <c r="M63" s="30">
        <v>42670</v>
      </c>
      <c r="O63" s="8" t="s">
        <v>278</v>
      </c>
    </row>
    <row r="64" spans="1:16" ht="28" hidden="1" x14ac:dyDescent="0.2">
      <c r="A64" s="6">
        <v>63</v>
      </c>
      <c r="E64" s="6" t="s">
        <v>97</v>
      </c>
      <c r="F64" s="7" t="s">
        <v>181</v>
      </c>
      <c r="G64" s="6" t="s">
        <v>54</v>
      </c>
      <c r="H64" s="6" t="s">
        <v>86</v>
      </c>
      <c r="I64" s="6" t="s">
        <v>58</v>
      </c>
      <c r="K64" s="9">
        <v>42669</v>
      </c>
      <c r="L64" s="6"/>
      <c r="M64" s="6">
        <v>42671</v>
      </c>
      <c r="N64" s="6"/>
      <c r="O64" s="8" t="s">
        <v>199</v>
      </c>
    </row>
    <row r="65" spans="1:16" ht="42" hidden="1" x14ac:dyDescent="0.2">
      <c r="A65" s="6">
        <v>64</v>
      </c>
      <c r="E65" s="6" t="s">
        <v>97</v>
      </c>
      <c r="F65" s="7" t="s">
        <v>182</v>
      </c>
      <c r="G65" s="6" t="s">
        <v>54</v>
      </c>
      <c r="H65" s="6" t="s">
        <v>86</v>
      </c>
      <c r="I65" s="6" t="s">
        <v>58</v>
      </c>
      <c r="J65" s="30">
        <v>42669</v>
      </c>
      <c r="K65" s="30">
        <v>42669</v>
      </c>
      <c r="O65" s="8" t="s">
        <v>279</v>
      </c>
      <c r="P65" s="7" t="s">
        <v>200</v>
      </c>
    </row>
    <row r="66" spans="1:16" ht="28" hidden="1" x14ac:dyDescent="0.2">
      <c r="A66" s="6">
        <v>65</v>
      </c>
      <c r="E66" s="6" t="s">
        <v>5</v>
      </c>
      <c r="F66" s="7" t="s">
        <v>184</v>
      </c>
      <c r="G66" s="6" t="s">
        <v>54</v>
      </c>
      <c r="H66" s="6" t="s">
        <v>127</v>
      </c>
      <c r="I66" s="6" t="s">
        <v>58</v>
      </c>
      <c r="K66" s="9">
        <v>42669</v>
      </c>
      <c r="L66" s="6"/>
      <c r="M66" s="6">
        <v>42676</v>
      </c>
      <c r="N66" s="6"/>
    </row>
    <row r="67" spans="1:16" x14ac:dyDescent="0.2">
      <c r="A67" s="6">
        <v>66</v>
      </c>
      <c r="E67" s="6" t="s">
        <v>97</v>
      </c>
      <c r="F67" s="7" t="s">
        <v>187</v>
      </c>
      <c r="G67" s="6" t="s">
        <v>54</v>
      </c>
      <c r="H67" s="6" t="s">
        <v>96</v>
      </c>
      <c r="I67" s="6" t="s">
        <v>55</v>
      </c>
      <c r="K67" s="30">
        <v>42669</v>
      </c>
      <c r="P67" s="7" t="s">
        <v>201</v>
      </c>
    </row>
    <row r="68" spans="1:16" ht="42" hidden="1" x14ac:dyDescent="0.2">
      <c r="A68" s="6">
        <v>67</v>
      </c>
      <c r="E68" s="6" t="s">
        <v>97</v>
      </c>
      <c r="F68" s="7" t="s">
        <v>189</v>
      </c>
      <c r="G68" s="6" t="s">
        <v>54</v>
      </c>
      <c r="H68" s="6" t="s">
        <v>208</v>
      </c>
      <c r="I68" s="6" t="s">
        <v>58</v>
      </c>
      <c r="J68" s="30">
        <v>42669</v>
      </c>
      <c r="K68" s="30">
        <v>42669</v>
      </c>
      <c r="M68" s="30">
        <v>42683</v>
      </c>
      <c r="O68" s="8" t="s">
        <v>280</v>
      </c>
      <c r="P68" s="7" t="s">
        <v>209</v>
      </c>
    </row>
    <row r="69" spans="1:16" ht="42" hidden="1" x14ac:dyDescent="0.2">
      <c r="A69" s="6">
        <v>68</v>
      </c>
      <c r="E69" s="6" t="s">
        <v>97</v>
      </c>
      <c r="F69" s="7" t="s">
        <v>192</v>
      </c>
      <c r="G69" s="6" t="s">
        <v>54</v>
      </c>
      <c r="H69" s="6" t="s">
        <v>96</v>
      </c>
      <c r="I69" s="6" t="s">
        <v>58</v>
      </c>
      <c r="J69" s="30">
        <v>42669</v>
      </c>
      <c r="K69" s="30">
        <v>42669</v>
      </c>
      <c r="M69" s="30">
        <v>42685</v>
      </c>
      <c r="O69" s="8" t="s">
        <v>281</v>
      </c>
    </row>
    <row r="70" spans="1:16" hidden="1" x14ac:dyDescent="0.2">
      <c r="A70" s="6">
        <v>69</v>
      </c>
      <c r="E70" s="6" t="s">
        <v>97</v>
      </c>
      <c r="F70" s="7" t="s">
        <v>194</v>
      </c>
      <c r="G70" s="6" t="s">
        <v>54</v>
      </c>
      <c r="H70" s="6" t="s">
        <v>282</v>
      </c>
      <c r="I70" s="6" t="s">
        <v>58</v>
      </c>
      <c r="J70" s="30">
        <v>42669</v>
      </c>
      <c r="K70" s="30">
        <v>42669</v>
      </c>
      <c r="M70" s="30">
        <v>42692</v>
      </c>
      <c r="N70" s="30">
        <v>42691</v>
      </c>
      <c r="P70" s="7" t="s">
        <v>283</v>
      </c>
    </row>
    <row r="71" spans="1:16" ht="28" hidden="1" x14ac:dyDescent="0.2">
      <c r="A71" s="6">
        <v>70</v>
      </c>
      <c r="E71" s="6" t="s">
        <v>97</v>
      </c>
      <c r="F71" s="7" t="s">
        <v>195</v>
      </c>
      <c r="G71" s="6" t="s">
        <v>54</v>
      </c>
      <c r="H71" s="6" t="s">
        <v>86</v>
      </c>
      <c r="I71" s="6" t="s">
        <v>58</v>
      </c>
      <c r="K71" s="30">
        <v>42669</v>
      </c>
      <c r="M71" s="30">
        <v>42678</v>
      </c>
      <c r="O71" s="8" t="s">
        <v>210</v>
      </c>
    </row>
    <row r="72" spans="1:16" x14ac:dyDescent="0.2">
      <c r="A72" s="6">
        <v>71</v>
      </c>
      <c r="E72" s="6" t="s">
        <v>97</v>
      </c>
      <c r="F72" s="7" t="s">
        <v>196</v>
      </c>
      <c r="G72" s="6" t="s">
        <v>54</v>
      </c>
      <c r="H72" s="6" t="s">
        <v>284</v>
      </c>
      <c r="I72" s="6" t="s">
        <v>60</v>
      </c>
      <c r="J72" s="30">
        <v>42669</v>
      </c>
      <c r="K72" s="30">
        <v>42669</v>
      </c>
      <c r="P72" s="7" t="s">
        <v>202</v>
      </c>
    </row>
    <row r="73" spans="1:16" ht="42" hidden="1" x14ac:dyDescent="0.2">
      <c r="A73" s="6">
        <v>72</v>
      </c>
      <c r="E73" s="6" t="s">
        <v>97</v>
      </c>
      <c r="F73" s="7" t="s">
        <v>213</v>
      </c>
      <c r="G73" s="6" t="s">
        <v>54</v>
      </c>
      <c r="H73" s="6" t="s">
        <v>86</v>
      </c>
      <c r="I73" s="6" t="s">
        <v>58</v>
      </c>
      <c r="J73" s="30">
        <v>42678</v>
      </c>
      <c r="K73" s="30">
        <v>42678</v>
      </c>
      <c r="M73" s="30">
        <v>42683</v>
      </c>
      <c r="N73" s="30">
        <v>42685</v>
      </c>
      <c r="O73" s="8" t="s">
        <v>285</v>
      </c>
      <c r="P73" s="7" t="s">
        <v>212</v>
      </c>
    </row>
    <row r="74" spans="1:16" ht="42" hidden="1" x14ac:dyDescent="0.2">
      <c r="A74" s="6">
        <v>73</v>
      </c>
      <c r="E74" s="6" t="s">
        <v>97</v>
      </c>
      <c r="F74" s="7" t="s">
        <v>211</v>
      </c>
      <c r="G74" s="6" t="s">
        <v>54</v>
      </c>
      <c r="H74" s="6" t="s">
        <v>86</v>
      </c>
      <c r="I74" s="6" t="s">
        <v>58</v>
      </c>
      <c r="J74" s="30">
        <v>42681</v>
      </c>
      <c r="K74" s="30">
        <v>42681</v>
      </c>
      <c r="M74" s="30">
        <v>42689</v>
      </c>
      <c r="P74" s="7" t="s">
        <v>295</v>
      </c>
    </row>
    <row r="75" spans="1:16" ht="42" hidden="1" x14ac:dyDescent="0.2">
      <c r="A75" s="6">
        <v>74</v>
      </c>
      <c r="E75" s="6" t="s">
        <v>214</v>
      </c>
      <c r="F75" s="7" t="s">
        <v>215</v>
      </c>
      <c r="G75" s="6" t="s">
        <v>51</v>
      </c>
      <c r="H75" s="6" t="s">
        <v>86</v>
      </c>
      <c r="I75" s="6" t="s">
        <v>58</v>
      </c>
      <c r="J75" s="30">
        <v>42681</v>
      </c>
      <c r="K75" s="30">
        <v>42681</v>
      </c>
      <c r="M75" s="30">
        <v>42683</v>
      </c>
      <c r="O75" s="8" t="s">
        <v>286</v>
      </c>
    </row>
    <row r="76" spans="1:16" ht="70" hidden="1" x14ac:dyDescent="0.2">
      <c r="A76" s="6">
        <v>75</v>
      </c>
      <c r="E76" s="6" t="s">
        <v>214</v>
      </c>
      <c r="F76" s="7" t="s">
        <v>292</v>
      </c>
      <c r="G76" s="6" t="s">
        <v>51</v>
      </c>
      <c r="H76" s="6" t="s">
        <v>144</v>
      </c>
      <c r="I76" s="6" t="s">
        <v>58</v>
      </c>
      <c r="J76" s="30">
        <v>42690</v>
      </c>
      <c r="P76" s="7" t="s">
        <v>293</v>
      </c>
    </row>
    <row r="77" spans="1:16" ht="70" hidden="1" x14ac:dyDescent="0.2">
      <c r="A77" s="6">
        <v>76</v>
      </c>
      <c r="E77" s="6" t="s">
        <v>214</v>
      </c>
      <c r="F77" s="7" t="s">
        <v>303</v>
      </c>
      <c r="G77" s="6" t="s">
        <v>54</v>
      </c>
      <c r="H77" s="6" t="s">
        <v>86</v>
      </c>
      <c r="I77" s="6" t="s">
        <v>322</v>
      </c>
      <c r="J77" s="30">
        <v>42692</v>
      </c>
      <c r="N77" s="30">
        <v>42705</v>
      </c>
      <c r="O77" s="8" t="s">
        <v>323</v>
      </c>
    </row>
    <row r="78" spans="1:16" hidden="1" x14ac:dyDescent="0.2">
      <c r="A78" s="6">
        <v>77</v>
      </c>
      <c r="E78" s="6" t="s">
        <v>97</v>
      </c>
      <c r="F78" s="7" t="s">
        <v>304</v>
      </c>
      <c r="G78" s="6" t="s">
        <v>54</v>
      </c>
      <c r="H78" s="6" t="s">
        <v>86</v>
      </c>
      <c r="I78" s="6" t="s">
        <v>58</v>
      </c>
      <c r="J78" s="30">
        <v>42696</v>
      </c>
      <c r="K78" s="30">
        <v>42696</v>
      </c>
      <c r="M78" s="30">
        <v>42696</v>
      </c>
      <c r="N78" s="30">
        <v>42696</v>
      </c>
      <c r="O78" s="8" t="s">
        <v>305</v>
      </c>
    </row>
    <row r="79" spans="1:16" ht="28" hidden="1" x14ac:dyDescent="0.2">
      <c r="A79" s="6">
        <v>78</v>
      </c>
      <c r="E79" s="6" t="s">
        <v>97</v>
      </c>
      <c r="F79" s="7" t="s">
        <v>306</v>
      </c>
      <c r="G79" s="6" t="s">
        <v>54</v>
      </c>
      <c r="H79" s="6" t="s">
        <v>86</v>
      </c>
      <c r="I79" s="6" t="s">
        <v>58</v>
      </c>
      <c r="J79" s="30">
        <v>42696</v>
      </c>
      <c r="K79" s="30">
        <v>42699</v>
      </c>
      <c r="M79" s="30">
        <v>42696</v>
      </c>
      <c r="N79" s="30">
        <v>42699</v>
      </c>
      <c r="O79" s="8" t="s">
        <v>307</v>
      </c>
    </row>
    <row r="80" spans="1:16" ht="28" hidden="1" x14ac:dyDescent="0.2">
      <c r="A80" s="6">
        <v>79</v>
      </c>
      <c r="E80" s="6" t="s">
        <v>97</v>
      </c>
      <c r="F80" s="7" t="s">
        <v>308</v>
      </c>
      <c r="G80" s="6" t="s">
        <v>310</v>
      </c>
      <c r="H80" s="6" t="s">
        <v>86</v>
      </c>
      <c r="I80" s="6" t="s">
        <v>58</v>
      </c>
      <c r="J80" s="30">
        <v>42699</v>
      </c>
      <c r="K80" s="30">
        <v>42699</v>
      </c>
      <c r="M80" s="30">
        <v>42706</v>
      </c>
      <c r="N80" s="30">
        <v>42703</v>
      </c>
      <c r="O80" s="8" t="s">
        <v>312</v>
      </c>
    </row>
    <row r="81" spans="1:16" ht="42" x14ac:dyDescent="0.2">
      <c r="A81" s="6">
        <v>80</v>
      </c>
      <c r="E81" s="6" t="s">
        <v>97</v>
      </c>
      <c r="F81" s="7" t="s">
        <v>309</v>
      </c>
      <c r="G81" s="6" t="s">
        <v>310</v>
      </c>
      <c r="H81" s="6" t="s">
        <v>86</v>
      </c>
      <c r="I81" s="6" t="s">
        <v>60</v>
      </c>
      <c r="J81" s="30">
        <v>42702</v>
      </c>
      <c r="M81" s="30">
        <v>42706</v>
      </c>
      <c r="P81" s="7" t="s">
        <v>361</v>
      </c>
    </row>
    <row r="82" spans="1:16" ht="56" hidden="1" x14ac:dyDescent="0.2">
      <c r="A82" s="6">
        <v>81</v>
      </c>
      <c r="E82" s="6" t="s">
        <v>97</v>
      </c>
      <c r="F82" s="7" t="s">
        <v>311</v>
      </c>
      <c r="G82" s="6" t="s">
        <v>54</v>
      </c>
      <c r="H82" s="6" t="s">
        <v>86</v>
      </c>
      <c r="I82" s="6" t="s">
        <v>322</v>
      </c>
      <c r="J82" s="30">
        <v>42705</v>
      </c>
      <c r="K82" s="30">
        <v>42705</v>
      </c>
      <c r="M82" s="30">
        <v>42709</v>
      </c>
      <c r="N82" s="30">
        <v>42709</v>
      </c>
      <c r="O82" s="8" t="s">
        <v>324</v>
      </c>
    </row>
    <row r="83" spans="1:16" ht="56" hidden="1" x14ac:dyDescent="0.2">
      <c r="A83" s="6">
        <v>82</v>
      </c>
      <c r="E83" s="6" t="s">
        <v>97</v>
      </c>
      <c r="F83" s="7" t="s">
        <v>313</v>
      </c>
      <c r="G83" s="6" t="s">
        <v>54</v>
      </c>
      <c r="H83" s="6" t="s">
        <v>86</v>
      </c>
      <c r="I83" s="6" t="s">
        <v>58</v>
      </c>
      <c r="J83" s="30">
        <v>42705</v>
      </c>
      <c r="K83" s="30">
        <v>42705</v>
      </c>
      <c r="M83" s="30">
        <v>42705</v>
      </c>
      <c r="N83" s="30">
        <v>42705</v>
      </c>
      <c r="O83" s="8" t="s">
        <v>314</v>
      </c>
    </row>
    <row r="84" spans="1:16" ht="70" hidden="1" x14ac:dyDescent="0.2">
      <c r="A84" s="6">
        <v>83</v>
      </c>
      <c r="E84" s="6" t="s">
        <v>97</v>
      </c>
      <c r="F84" s="7" t="s">
        <v>315</v>
      </c>
      <c r="G84" s="6" t="s">
        <v>54</v>
      </c>
      <c r="H84" s="6" t="s">
        <v>86</v>
      </c>
      <c r="I84" s="6" t="s">
        <v>58</v>
      </c>
      <c r="J84" s="30">
        <v>42712</v>
      </c>
      <c r="K84" s="30">
        <v>42712</v>
      </c>
      <c r="M84" s="30">
        <v>42717</v>
      </c>
      <c r="P84" s="7" t="s">
        <v>316</v>
      </c>
    </row>
    <row r="85" spans="1:16" ht="56" hidden="1" x14ac:dyDescent="0.2">
      <c r="A85" s="6">
        <v>84</v>
      </c>
      <c r="E85" s="6" t="s">
        <v>5</v>
      </c>
      <c r="F85" s="7" t="s">
        <v>317</v>
      </c>
      <c r="G85" s="6" t="s">
        <v>54</v>
      </c>
      <c r="H85" s="6" t="s">
        <v>167</v>
      </c>
      <c r="I85" s="6" t="s">
        <v>58</v>
      </c>
      <c r="O85" s="8" t="s">
        <v>354</v>
      </c>
    </row>
    <row r="86" spans="1:16" ht="84" hidden="1" x14ac:dyDescent="0.2">
      <c r="A86" s="6">
        <v>85</v>
      </c>
      <c r="E86" s="6" t="s">
        <v>5</v>
      </c>
      <c r="F86" s="7" t="s">
        <v>318</v>
      </c>
      <c r="G86" s="6" t="s">
        <v>54</v>
      </c>
      <c r="H86" s="6" t="s">
        <v>167</v>
      </c>
      <c r="I86" s="6" t="s">
        <v>58</v>
      </c>
      <c r="O86" s="8" t="s">
        <v>362</v>
      </c>
    </row>
    <row r="87" spans="1:16" ht="28" x14ac:dyDescent="0.2">
      <c r="A87" s="6">
        <v>86</v>
      </c>
      <c r="E87" s="6" t="s">
        <v>5</v>
      </c>
      <c r="F87" s="7" t="s">
        <v>319</v>
      </c>
      <c r="G87" s="6" t="s">
        <v>54</v>
      </c>
      <c r="H87" s="6" t="s">
        <v>167</v>
      </c>
      <c r="I87" s="6" t="s">
        <v>55</v>
      </c>
      <c r="O87" s="8" t="s">
        <v>362</v>
      </c>
    </row>
    <row r="88" spans="1:16" ht="98" x14ac:dyDescent="0.2">
      <c r="A88" s="6">
        <v>87</v>
      </c>
      <c r="E88" s="6" t="s">
        <v>214</v>
      </c>
      <c r="F88" s="7" t="s">
        <v>320</v>
      </c>
      <c r="G88" s="6" t="s">
        <v>321</v>
      </c>
      <c r="H88" s="6" t="s">
        <v>167</v>
      </c>
      <c r="I88" s="6" t="s">
        <v>55</v>
      </c>
      <c r="O88" s="8" t="s">
        <v>362</v>
      </c>
      <c r="P88" s="7" t="s">
        <v>368</v>
      </c>
    </row>
    <row r="89" spans="1:16" ht="70" x14ac:dyDescent="0.2">
      <c r="A89" s="6">
        <v>85</v>
      </c>
      <c r="E89" s="6" t="s">
        <v>214</v>
      </c>
      <c r="F89" s="7" t="s">
        <v>325</v>
      </c>
      <c r="G89" s="6" t="s">
        <v>54</v>
      </c>
      <c r="H89" s="6" t="s">
        <v>167</v>
      </c>
      <c r="I89" s="6" t="s">
        <v>55</v>
      </c>
      <c r="O89" s="8" t="s">
        <v>362</v>
      </c>
      <c r="P89" s="7" t="s">
        <v>368</v>
      </c>
    </row>
    <row r="90" spans="1:16" ht="112" x14ac:dyDescent="0.2">
      <c r="A90" s="6">
        <v>86</v>
      </c>
      <c r="E90" s="6" t="s">
        <v>214</v>
      </c>
      <c r="F90" s="7" t="s">
        <v>326</v>
      </c>
      <c r="G90" s="6" t="s">
        <v>54</v>
      </c>
      <c r="H90" s="6" t="s">
        <v>167</v>
      </c>
      <c r="I90" s="6" t="s">
        <v>55</v>
      </c>
      <c r="O90" s="8" t="s">
        <v>362</v>
      </c>
      <c r="P90" s="7" t="s">
        <v>368</v>
      </c>
    </row>
    <row r="91" spans="1:16" hidden="1" x14ac:dyDescent="0.2">
      <c r="A91" s="6">
        <v>87</v>
      </c>
      <c r="E91" s="6" t="s">
        <v>97</v>
      </c>
      <c r="F91" s="7" t="s">
        <v>328</v>
      </c>
      <c r="G91" s="6" t="s">
        <v>51</v>
      </c>
      <c r="H91" s="6" t="s">
        <v>327</v>
      </c>
      <c r="I91" s="6" t="s">
        <v>58</v>
      </c>
      <c r="J91" s="30">
        <v>42716</v>
      </c>
      <c r="M91" s="30">
        <v>42720</v>
      </c>
      <c r="N91" s="30">
        <v>42726</v>
      </c>
    </row>
    <row r="92" spans="1:16" hidden="1" x14ac:dyDescent="0.2">
      <c r="A92" s="6">
        <v>88</v>
      </c>
      <c r="E92" s="6" t="s">
        <v>97</v>
      </c>
      <c r="F92" s="7" t="s">
        <v>329</v>
      </c>
      <c r="G92" s="6" t="s">
        <v>54</v>
      </c>
      <c r="H92" s="6" t="s">
        <v>86</v>
      </c>
      <c r="I92" s="6" t="s">
        <v>58</v>
      </c>
      <c r="J92" s="30">
        <v>42716</v>
      </c>
      <c r="K92" s="30">
        <v>42716</v>
      </c>
      <c r="M92" s="30">
        <v>42720</v>
      </c>
      <c r="N92" s="30">
        <v>42726</v>
      </c>
    </row>
    <row r="93" spans="1:16" ht="56" hidden="1" x14ac:dyDescent="0.2">
      <c r="A93" s="6">
        <v>89</v>
      </c>
      <c r="E93" s="6" t="s">
        <v>97</v>
      </c>
      <c r="F93" s="7" t="s">
        <v>338</v>
      </c>
      <c r="G93" s="6" t="s">
        <v>54</v>
      </c>
      <c r="H93" s="6" t="s">
        <v>86</v>
      </c>
      <c r="I93" s="6" t="s">
        <v>58</v>
      </c>
      <c r="J93" s="30">
        <v>42719</v>
      </c>
      <c r="K93" s="30">
        <v>42720</v>
      </c>
      <c r="M93" s="30">
        <v>42719</v>
      </c>
      <c r="N93" s="30">
        <v>42720</v>
      </c>
      <c r="O93" s="8" t="s">
        <v>350</v>
      </c>
    </row>
    <row r="94" spans="1:16" ht="336" hidden="1" x14ac:dyDescent="0.2">
      <c r="A94" s="6">
        <v>90</v>
      </c>
      <c r="E94" s="6" t="s">
        <v>97</v>
      </c>
      <c r="F94" s="7" t="s">
        <v>339</v>
      </c>
      <c r="G94" s="6" t="s">
        <v>54</v>
      </c>
      <c r="H94" s="6" t="s">
        <v>86</v>
      </c>
      <c r="I94" s="6" t="s">
        <v>58</v>
      </c>
      <c r="J94" s="30">
        <v>42716</v>
      </c>
      <c r="K94" s="30">
        <v>42716</v>
      </c>
      <c r="M94" s="30">
        <v>42718</v>
      </c>
      <c r="N94" s="30">
        <v>42719</v>
      </c>
      <c r="O94" s="8" t="s">
        <v>340</v>
      </c>
    </row>
    <row r="95" spans="1:16" ht="98" hidden="1" x14ac:dyDescent="0.2">
      <c r="A95" s="6">
        <v>91</v>
      </c>
      <c r="E95" s="6" t="s">
        <v>97</v>
      </c>
      <c r="F95" s="7" t="s">
        <v>341</v>
      </c>
      <c r="G95" s="6" t="s">
        <v>54</v>
      </c>
      <c r="H95" s="6" t="s">
        <v>86</v>
      </c>
      <c r="I95" s="6" t="s">
        <v>58</v>
      </c>
      <c r="J95" s="30">
        <v>42716</v>
      </c>
      <c r="K95" s="30">
        <v>42716</v>
      </c>
      <c r="M95" s="30">
        <v>42718</v>
      </c>
      <c r="N95" s="30">
        <v>42719</v>
      </c>
      <c r="O95" s="8" t="s">
        <v>342</v>
      </c>
    </row>
    <row r="96" spans="1:16" ht="112" hidden="1" x14ac:dyDescent="0.2">
      <c r="A96" s="6">
        <v>92</v>
      </c>
      <c r="E96" s="6" t="s">
        <v>97</v>
      </c>
      <c r="F96" s="7" t="s">
        <v>343</v>
      </c>
      <c r="G96" s="6" t="s">
        <v>54</v>
      </c>
      <c r="H96" s="6" t="s">
        <v>86</v>
      </c>
      <c r="I96" s="6" t="s">
        <v>58</v>
      </c>
      <c r="J96" s="30">
        <v>42716</v>
      </c>
      <c r="K96" s="30">
        <v>42719</v>
      </c>
      <c r="M96" s="30">
        <v>42719</v>
      </c>
      <c r="N96" s="30">
        <v>42719</v>
      </c>
      <c r="O96" s="8" t="s">
        <v>344</v>
      </c>
    </row>
    <row r="97" spans="1:16" ht="126" hidden="1" x14ac:dyDescent="0.2">
      <c r="A97" s="6">
        <v>93</v>
      </c>
      <c r="E97" s="6" t="s">
        <v>97</v>
      </c>
      <c r="F97" s="7" t="s">
        <v>347</v>
      </c>
      <c r="G97" s="6" t="s">
        <v>54</v>
      </c>
      <c r="H97" s="6" t="s">
        <v>345</v>
      </c>
      <c r="I97" s="6" t="s">
        <v>58</v>
      </c>
      <c r="J97" s="30">
        <v>42716</v>
      </c>
      <c r="K97" s="30">
        <v>42719</v>
      </c>
      <c r="M97" s="30">
        <v>42719</v>
      </c>
      <c r="N97" s="30">
        <v>42719</v>
      </c>
      <c r="O97" s="8" t="s">
        <v>346</v>
      </c>
    </row>
    <row r="98" spans="1:16" ht="126" hidden="1" x14ac:dyDescent="0.2">
      <c r="A98" s="6">
        <v>94</v>
      </c>
      <c r="E98" s="6" t="s">
        <v>97</v>
      </c>
      <c r="F98" s="7" t="s">
        <v>348</v>
      </c>
      <c r="G98" s="6" t="s">
        <v>54</v>
      </c>
      <c r="H98" s="6" t="s">
        <v>345</v>
      </c>
      <c r="I98" s="6" t="s">
        <v>58</v>
      </c>
      <c r="J98" s="30">
        <v>42716</v>
      </c>
      <c r="K98" s="30">
        <v>42719</v>
      </c>
      <c r="M98" s="30">
        <v>42720</v>
      </c>
      <c r="N98" s="30">
        <v>42720</v>
      </c>
      <c r="O98" s="8" t="s">
        <v>349</v>
      </c>
    </row>
    <row r="99" spans="1:16" ht="42" hidden="1" x14ac:dyDescent="0.2">
      <c r="A99" s="6">
        <v>95</v>
      </c>
      <c r="E99" s="6" t="s">
        <v>97</v>
      </c>
      <c r="F99" s="7" t="s">
        <v>351</v>
      </c>
      <c r="G99" s="6" t="s">
        <v>54</v>
      </c>
      <c r="H99" s="6" t="s">
        <v>345</v>
      </c>
      <c r="I99" s="6" t="s">
        <v>58</v>
      </c>
      <c r="J99" s="30">
        <v>42716</v>
      </c>
      <c r="K99" s="30">
        <v>42719</v>
      </c>
      <c r="M99" s="30">
        <v>42719</v>
      </c>
      <c r="N99" s="30">
        <v>42719</v>
      </c>
      <c r="O99" s="8" t="s">
        <v>352</v>
      </c>
    </row>
    <row r="100" spans="1:16" ht="28" x14ac:dyDescent="0.2">
      <c r="A100" s="6">
        <v>96</v>
      </c>
      <c r="E100" s="6" t="s">
        <v>3</v>
      </c>
      <c r="F100" s="7" t="s">
        <v>353</v>
      </c>
      <c r="G100" s="6" t="s">
        <v>54</v>
      </c>
      <c r="H100" s="6" t="s">
        <v>167</v>
      </c>
      <c r="I100" s="6" t="s">
        <v>55</v>
      </c>
      <c r="J100" s="30">
        <v>42720</v>
      </c>
      <c r="K100" s="30">
        <v>42725</v>
      </c>
    </row>
    <row r="101" spans="1:16" ht="28" hidden="1" x14ac:dyDescent="0.2">
      <c r="A101" s="6">
        <v>97</v>
      </c>
      <c r="E101" s="6" t="s">
        <v>97</v>
      </c>
      <c r="F101" s="7" t="s">
        <v>363</v>
      </c>
      <c r="G101" s="6" t="s">
        <v>54</v>
      </c>
      <c r="H101" s="6" t="s">
        <v>95</v>
      </c>
      <c r="I101" s="6" t="s">
        <v>58</v>
      </c>
      <c r="J101" s="30">
        <v>42741</v>
      </c>
      <c r="K101" s="30">
        <v>42741</v>
      </c>
      <c r="M101" s="30">
        <v>42746</v>
      </c>
      <c r="N101" s="30">
        <v>42747</v>
      </c>
    </row>
    <row r="102" spans="1:16" ht="56" hidden="1" x14ac:dyDescent="0.2">
      <c r="A102" s="6">
        <v>98</v>
      </c>
      <c r="E102" s="6" t="s">
        <v>97</v>
      </c>
      <c r="F102" s="7" t="s">
        <v>364</v>
      </c>
      <c r="G102" s="6" t="s">
        <v>54</v>
      </c>
      <c r="H102" s="6" t="s">
        <v>86</v>
      </c>
      <c r="I102" s="6" t="s">
        <v>58</v>
      </c>
      <c r="J102" s="30">
        <v>42747</v>
      </c>
      <c r="K102" s="30">
        <v>42747</v>
      </c>
      <c r="M102" s="30">
        <v>42758</v>
      </c>
      <c r="N102" s="30">
        <v>42758</v>
      </c>
      <c r="P102" s="7" t="s">
        <v>376</v>
      </c>
    </row>
    <row r="103" spans="1:16" hidden="1" x14ac:dyDescent="0.2">
      <c r="A103" s="6">
        <v>99</v>
      </c>
      <c r="E103" s="6" t="s">
        <v>97</v>
      </c>
      <c r="F103" s="7" t="s">
        <v>365</v>
      </c>
      <c r="G103" s="6" t="s">
        <v>54</v>
      </c>
      <c r="H103" s="6" t="s">
        <v>98</v>
      </c>
      <c r="I103" s="6" t="s">
        <v>58</v>
      </c>
      <c r="J103" s="30">
        <v>42748</v>
      </c>
      <c r="K103" s="30">
        <v>42748</v>
      </c>
      <c r="M103" s="30">
        <v>42752</v>
      </c>
      <c r="N103" s="30">
        <v>42752</v>
      </c>
    </row>
    <row r="104" spans="1:16" ht="42" x14ac:dyDescent="0.2">
      <c r="A104" s="6">
        <v>100</v>
      </c>
      <c r="E104" s="6" t="s">
        <v>97</v>
      </c>
      <c r="F104" s="7" t="s">
        <v>369</v>
      </c>
      <c r="G104" s="6" t="s">
        <v>54</v>
      </c>
      <c r="H104" s="6" t="s">
        <v>98</v>
      </c>
      <c r="I104" s="6" t="s">
        <v>56</v>
      </c>
      <c r="J104" s="30">
        <v>42748</v>
      </c>
      <c r="K104" s="30">
        <v>42748</v>
      </c>
      <c r="M104" s="30">
        <v>42778</v>
      </c>
      <c r="P104" s="7" t="s">
        <v>370</v>
      </c>
    </row>
    <row r="105" spans="1:16" ht="294" hidden="1" x14ac:dyDescent="0.2">
      <c r="A105" s="6">
        <v>101</v>
      </c>
      <c r="E105" s="6" t="s">
        <v>97</v>
      </c>
      <c r="F105" s="7" t="s">
        <v>85</v>
      </c>
      <c r="G105" s="6" t="s">
        <v>54</v>
      </c>
      <c r="H105" s="6" t="s">
        <v>86</v>
      </c>
      <c r="I105" s="6" t="s">
        <v>58</v>
      </c>
      <c r="J105" s="30">
        <v>42747</v>
      </c>
      <c r="K105" s="30">
        <v>42747</v>
      </c>
      <c r="M105" s="30">
        <v>42748</v>
      </c>
      <c r="N105" s="30">
        <v>42748</v>
      </c>
      <c r="O105" s="8" t="s">
        <v>371</v>
      </c>
    </row>
    <row r="106" spans="1:16" ht="28" hidden="1" x14ac:dyDescent="0.2">
      <c r="A106" s="6">
        <v>102</v>
      </c>
      <c r="E106" s="6" t="s">
        <v>97</v>
      </c>
      <c r="F106" s="7" t="s">
        <v>373</v>
      </c>
      <c r="G106" s="6" t="s">
        <v>54</v>
      </c>
      <c r="H106" s="6" t="s">
        <v>86</v>
      </c>
      <c r="I106" s="6" t="s">
        <v>58</v>
      </c>
      <c r="J106" s="30">
        <v>42751</v>
      </c>
      <c r="K106" s="30">
        <v>42753</v>
      </c>
      <c r="M106" s="30">
        <v>42758</v>
      </c>
      <c r="N106" s="30">
        <v>42768</v>
      </c>
      <c r="O106" s="8" t="s">
        <v>387</v>
      </c>
    </row>
    <row r="107" spans="1:16" x14ac:dyDescent="0.2">
      <c r="A107" s="6">
        <v>103</v>
      </c>
      <c r="E107" s="6" t="s">
        <v>97</v>
      </c>
      <c r="F107" s="7" t="s">
        <v>374</v>
      </c>
      <c r="G107" s="6" t="s">
        <v>54</v>
      </c>
      <c r="H107" s="6" t="s">
        <v>327</v>
      </c>
      <c r="I107" s="6" t="s">
        <v>60</v>
      </c>
      <c r="J107" s="30">
        <v>42751</v>
      </c>
      <c r="K107" s="30">
        <v>42754</v>
      </c>
      <c r="M107" s="30">
        <v>42758</v>
      </c>
    </row>
    <row r="108" spans="1:16" ht="28" x14ac:dyDescent="0.2">
      <c r="A108" s="6">
        <v>104</v>
      </c>
      <c r="E108" s="6" t="s">
        <v>97</v>
      </c>
      <c r="F108" s="7" t="s">
        <v>375</v>
      </c>
      <c r="G108" s="6" t="s">
        <v>51</v>
      </c>
      <c r="H108" s="6" t="s">
        <v>86</v>
      </c>
      <c r="I108" s="6" t="s">
        <v>56</v>
      </c>
      <c r="J108" s="30">
        <v>42751</v>
      </c>
      <c r="M108" s="30">
        <v>42755</v>
      </c>
      <c r="P108" s="8" t="s">
        <v>386</v>
      </c>
    </row>
    <row r="109" spans="1:16" ht="28" hidden="1" x14ac:dyDescent="0.2">
      <c r="A109" s="6">
        <v>105</v>
      </c>
      <c r="E109" s="6" t="s">
        <v>97</v>
      </c>
      <c r="F109" s="7" t="s">
        <v>377</v>
      </c>
      <c r="G109" s="6" t="s">
        <v>54</v>
      </c>
      <c r="H109" s="6" t="s">
        <v>98</v>
      </c>
      <c r="I109" s="6" t="s">
        <v>58</v>
      </c>
      <c r="J109" s="30">
        <v>42755</v>
      </c>
      <c r="K109" s="30">
        <v>42755</v>
      </c>
      <c r="M109" s="30">
        <v>42758</v>
      </c>
    </row>
    <row r="110" spans="1:16" ht="28" x14ac:dyDescent="0.2">
      <c r="A110" s="6">
        <v>106</v>
      </c>
      <c r="E110" s="6" t="s">
        <v>97</v>
      </c>
      <c r="F110" s="7" t="s">
        <v>382</v>
      </c>
      <c r="G110" s="6" t="s">
        <v>51</v>
      </c>
      <c r="H110" s="6" t="s">
        <v>98</v>
      </c>
      <c r="I110" s="6" t="s">
        <v>56</v>
      </c>
      <c r="J110" s="30">
        <v>42769</v>
      </c>
      <c r="K110" s="30">
        <v>42769</v>
      </c>
      <c r="M110" s="30">
        <v>42771</v>
      </c>
    </row>
    <row r="111" spans="1:16" ht="28" x14ac:dyDescent="0.2">
      <c r="A111" s="6">
        <v>107</v>
      </c>
      <c r="E111" s="6" t="s">
        <v>97</v>
      </c>
      <c r="F111" s="7" t="s">
        <v>383</v>
      </c>
      <c r="G111" s="6" t="s">
        <v>51</v>
      </c>
      <c r="H111" s="6" t="s">
        <v>86</v>
      </c>
      <c r="I111" s="6" t="s">
        <v>56</v>
      </c>
      <c r="J111" s="30">
        <v>42769</v>
      </c>
      <c r="K111" s="30">
        <v>42769</v>
      </c>
      <c r="M111" s="30">
        <v>42774</v>
      </c>
      <c r="P111" s="7" t="s">
        <v>384</v>
      </c>
    </row>
    <row r="112" spans="1:16" ht="42" x14ac:dyDescent="0.2">
      <c r="A112" s="6">
        <v>108</v>
      </c>
      <c r="E112" s="6" t="s">
        <v>97</v>
      </c>
      <c r="F112" s="7" t="s">
        <v>385</v>
      </c>
      <c r="G112" s="6" t="s">
        <v>54</v>
      </c>
      <c r="H112" s="6" t="s">
        <v>208</v>
      </c>
      <c r="I112" s="6" t="s">
        <v>55</v>
      </c>
      <c r="J112" s="30">
        <v>42774</v>
      </c>
      <c r="M112" s="30">
        <v>42781</v>
      </c>
    </row>
  </sheetData>
  <autoFilter ref="A1:S112">
    <filterColumn colId="8">
      <filters>
        <filter val="In Progress"/>
        <filter val="Not Started"/>
        <filter val="Overdue"/>
      </filters>
    </filterColumn>
  </autoFilter>
  <sortState ref="C2:P53">
    <sortCondition ref="G2:G53"/>
  </sortState>
  <conditionalFormatting sqref="G2:H141">
    <cfRule type="containsText" dxfId="192" priority="40" operator="containsText" text="High">
      <formula>NOT(ISERROR(SEARCH("High",G2)))</formula>
    </cfRule>
  </conditionalFormatting>
  <conditionalFormatting sqref="K53:O53 L35:O36 O52 I33:O34 I2:O31 I32:N86 I4:I141">
    <cfRule type="containsText" dxfId="191" priority="39" operator="containsText" text="Overdue">
      <formula>NOT(ISERROR(SEARCH("Overdue",I2)))</formula>
    </cfRule>
  </conditionalFormatting>
  <conditionalFormatting sqref="I36:J36">
    <cfRule type="containsText" dxfId="190" priority="37" operator="containsText" text="Overdue">
      <formula>NOT(ISERROR(SEARCH("Overdue",I36)))</formula>
    </cfRule>
  </conditionalFormatting>
  <conditionalFormatting sqref="G38:G39">
    <cfRule type="containsText" dxfId="189" priority="36" operator="containsText" text="High">
      <formula>NOT(ISERROR(SEARCH("High",G38)))</formula>
    </cfRule>
  </conditionalFormatting>
  <conditionalFormatting sqref="I38:J39">
    <cfRule type="containsText" dxfId="188" priority="35" operator="containsText" text="Overdue">
      <formula>NOT(ISERROR(SEARCH("Overdue",I38)))</formula>
    </cfRule>
  </conditionalFormatting>
  <conditionalFormatting sqref="I53:J58">
    <cfRule type="containsText" dxfId="187" priority="34" operator="containsText" text="Overdue">
      <formula>NOT(ISERROR(SEARCH("Overdue",I53)))</formula>
    </cfRule>
  </conditionalFormatting>
  <conditionalFormatting sqref="G44:G60">
    <cfRule type="containsText" dxfId="186" priority="33" operator="containsText" text="High">
      <formula>NOT(ISERROR(SEARCH("High",G44)))</formula>
    </cfRule>
  </conditionalFormatting>
  <conditionalFormatting sqref="K39 K35:K37">
    <cfRule type="containsText" dxfId="185" priority="30" operator="containsText" text="Overdue">
      <formula>NOT(ISERROR(SEARCH("Overdue",K35)))</formula>
    </cfRule>
  </conditionalFormatting>
  <conditionalFormatting sqref="K44">
    <cfRule type="containsText" dxfId="184" priority="29" operator="containsText" text="Overdue">
      <formula>NOT(ISERROR(SEARCH("Overdue",K44)))</formula>
    </cfRule>
  </conditionalFormatting>
  <conditionalFormatting sqref="K45">
    <cfRule type="containsText" dxfId="183" priority="28" operator="containsText" text="Overdue">
      <formula>NOT(ISERROR(SEARCH("Overdue",K45)))</formula>
    </cfRule>
  </conditionalFormatting>
  <conditionalFormatting sqref="K46">
    <cfRule type="containsText" dxfId="182" priority="27" operator="containsText" text="Overdue">
      <formula>NOT(ISERROR(SEARCH("Overdue",K46)))</formula>
    </cfRule>
  </conditionalFormatting>
  <conditionalFormatting sqref="K49">
    <cfRule type="containsText" dxfId="181" priority="26" operator="containsText" text="Overdue">
      <formula>NOT(ISERROR(SEARCH("Overdue",K49)))</formula>
    </cfRule>
  </conditionalFormatting>
  <conditionalFormatting sqref="K50">
    <cfRule type="containsText" dxfId="180" priority="25" operator="containsText" text="Overdue">
      <formula>NOT(ISERROR(SEARCH("Overdue",K50)))</formula>
    </cfRule>
  </conditionalFormatting>
  <conditionalFormatting sqref="K52">
    <cfRule type="containsText" dxfId="179" priority="24" operator="containsText" text="Overdue">
      <formula>NOT(ISERROR(SEARCH("Overdue",K52)))</formula>
    </cfRule>
  </conditionalFormatting>
  <conditionalFormatting sqref="K54">
    <cfRule type="containsText" dxfId="178" priority="23" operator="containsText" text="Overdue">
      <formula>NOT(ISERROR(SEARCH("Overdue",K54)))</formula>
    </cfRule>
  </conditionalFormatting>
  <conditionalFormatting sqref="K56">
    <cfRule type="containsText" dxfId="177" priority="22" operator="containsText" text="Overdue">
      <formula>NOT(ISERROR(SEARCH("Overdue",K56)))</formula>
    </cfRule>
  </conditionalFormatting>
  <conditionalFormatting sqref="K57">
    <cfRule type="containsText" dxfId="176" priority="21" operator="containsText" text="Overdue">
      <formula>NOT(ISERROR(SEARCH("Overdue",K57)))</formula>
    </cfRule>
  </conditionalFormatting>
  <conditionalFormatting sqref="K59">
    <cfRule type="containsText" dxfId="175" priority="20" operator="containsText" text="Overdue">
      <formula>NOT(ISERROR(SEARCH("Overdue",K59)))</formula>
    </cfRule>
  </conditionalFormatting>
  <conditionalFormatting sqref="K60">
    <cfRule type="containsText" dxfId="174" priority="19" operator="containsText" text="Overdue">
      <formula>NOT(ISERROR(SEARCH("Overdue",K60)))</formula>
    </cfRule>
  </conditionalFormatting>
  <conditionalFormatting sqref="K61">
    <cfRule type="containsText" dxfId="173" priority="18" operator="containsText" text="Overdue">
      <formula>NOT(ISERROR(SEARCH("Overdue",K61)))</formula>
    </cfRule>
  </conditionalFormatting>
  <conditionalFormatting sqref="K63:K72">
    <cfRule type="containsText" dxfId="172" priority="16" operator="containsText" text="Overdue">
      <formula>NOT(ISERROR(SEARCH("Overdue",K63)))</formula>
    </cfRule>
  </conditionalFormatting>
  <conditionalFormatting sqref="K62">
    <cfRule type="containsText" dxfId="171" priority="15" operator="containsText" text="Overdue">
      <formula>NOT(ISERROR(SEARCH("Overdue",K62)))</formula>
    </cfRule>
  </conditionalFormatting>
  <conditionalFormatting sqref="M63:N63">
    <cfRule type="containsText" dxfId="170" priority="14" operator="containsText" text="Overdue">
      <formula>NOT(ISERROR(SEARCH("Overdue",M63)))</formula>
    </cfRule>
  </conditionalFormatting>
  <conditionalFormatting sqref="M52:N52">
    <cfRule type="containsText" dxfId="169" priority="13" operator="containsText" text="Overdue">
      <formula>NOT(ISERROR(SEARCH("Overdue",M52)))</formula>
    </cfRule>
  </conditionalFormatting>
  <conditionalFormatting sqref="M54:N54">
    <cfRule type="containsText" dxfId="168" priority="12" operator="containsText" text="Overdue">
      <formula>NOT(ISERROR(SEARCH("Overdue",M54)))</formula>
    </cfRule>
  </conditionalFormatting>
  <conditionalFormatting sqref="J52">
    <cfRule type="containsText" dxfId="167" priority="11" operator="containsText" text="Overdue">
      <formula>NOT(ISERROR(SEARCH("Overdue",J52)))</formula>
    </cfRule>
  </conditionalFormatting>
  <conditionalFormatting sqref="J59">
    <cfRule type="containsText" dxfId="166" priority="10" operator="containsText" text="Overdue">
      <formula>NOT(ISERROR(SEARCH("Overdue",J59)))</formula>
    </cfRule>
  </conditionalFormatting>
  <conditionalFormatting sqref="J62">
    <cfRule type="containsText" dxfId="165" priority="9" operator="containsText" text="Overdue">
      <formula>NOT(ISERROR(SEARCH("Overdue",J62)))</formula>
    </cfRule>
  </conditionalFormatting>
  <conditionalFormatting sqref="J65">
    <cfRule type="containsText" dxfId="164" priority="8" operator="containsText" text="Overdue">
      <formula>NOT(ISERROR(SEARCH("Overdue",J65)))</formula>
    </cfRule>
  </conditionalFormatting>
  <conditionalFormatting sqref="J68">
    <cfRule type="containsText" dxfId="163" priority="7" operator="containsText" text="Overdue">
      <formula>NOT(ISERROR(SEARCH("Overdue",J68)))</formula>
    </cfRule>
  </conditionalFormatting>
  <conditionalFormatting sqref="J69">
    <cfRule type="containsText" dxfId="162" priority="6" operator="containsText" text="Overdue">
      <formula>NOT(ISERROR(SEARCH("Overdue",J69)))</formula>
    </cfRule>
  </conditionalFormatting>
  <conditionalFormatting sqref="J70">
    <cfRule type="containsText" dxfId="161" priority="5" operator="containsText" text="Overdue">
      <formula>NOT(ISERROR(SEARCH("Overdue",J70)))</formula>
    </cfRule>
  </conditionalFormatting>
  <conditionalFormatting sqref="J72">
    <cfRule type="containsText" dxfId="160" priority="4" operator="containsText" text="Overdue">
      <formula>NOT(ISERROR(SEARCH("Overdue",J72)))</formula>
    </cfRule>
  </conditionalFormatting>
  <conditionalFormatting sqref="J36">
    <cfRule type="containsText" dxfId="159" priority="3" operator="containsText" text="Overdue">
      <formula>NOT(ISERROR(SEARCH("Overdue",J36)))</formula>
    </cfRule>
  </conditionalFormatting>
  <conditionalFormatting sqref="M36">
    <cfRule type="containsText" dxfId="158" priority="2" operator="containsText" text="Overdue">
      <formula>NOT(ISERROR(SEARCH("Overdue",M36)))</formula>
    </cfRule>
  </conditionalFormatting>
  <conditionalFormatting sqref="M36">
    <cfRule type="containsText" dxfId="157" priority="1" operator="containsText" text="Overdue">
      <formula>NOT(ISERROR(SEARCH("Overdue",M36)))</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Legend!$A$2:$A$4</xm:f>
          </x14:formula1>
          <xm:sqref>G41:G46 G52:G53 G2:G39</xm:sqref>
        </x14:dataValidation>
        <x14:dataValidation type="list" allowBlank="1" showInputMessage="1" showErrorMessage="1">
          <x14:formula1>
            <xm:f>Legend!$B$2:$B$7</xm:f>
          </x14:formula1>
          <xm:sqref>J37:J50 J2:J3 J6:J7 J9:J21 J23:J27 J30:J31 J53 J34:J35 I2:I53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activeCell="A9" sqref="A9"/>
    </sheetView>
  </sheetViews>
  <sheetFormatPr baseColWidth="10" defaultRowHeight="16" x14ac:dyDescent="0.2"/>
  <cols>
    <col min="1" max="1" width="14.6640625" style="2" bestFit="1" customWidth="1"/>
    <col min="2" max="2" width="10.83203125" style="2"/>
    <col min="3" max="3" width="87" customWidth="1"/>
  </cols>
  <sheetData>
    <row r="1" spans="1:3" s="1" customFormat="1" x14ac:dyDescent="0.2">
      <c r="A1" s="1" t="s">
        <v>61</v>
      </c>
      <c r="B1" s="1" t="s">
        <v>62</v>
      </c>
      <c r="C1" s="1" t="s">
        <v>63</v>
      </c>
    </row>
    <row r="2" spans="1:3" x14ac:dyDescent="0.2">
      <c r="A2" s="2">
        <v>1</v>
      </c>
      <c r="B2" s="3">
        <v>41183</v>
      </c>
      <c r="C2" t="s">
        <v>64</v>
      </c>
    </row>
    <row r="3" spans="1:3" x14ac:dyDescent="0.2">
      <c r="A3" s="2">
        <v>1.01</v>
      </c>
      <c r="B3" s="3">
        <v>41548</v>
      </c>
      <c r="C3" t="s">
        <v>65</v>
      </c>
    </row>
    <row r="4" spans="1:3" x14ac:dyDescent="0.2">
      <c r="A4" s="2">
        <v>1.02</v>
      </c>
      <c r="B4" s="3">
        <v>43374</v>
      </c>
      <c r="C4" t="s">
        <v>94</v>
      </c>
    </row>
    <row r="5" spans="1:3" x14ac:dyDescent="0.2">
      <c r="A5" s="2">
        <v>1.03</v>
      </c>
      <c r="B5" s="3">
        <v>44470</v>
      </c>
      <c r="C5" t="s">
        <v>113</v>
      </c>
    </row>
    <row r="6" spans="1:3" x14ac:dyDescent="0.2">
      <c r="A6" s="2">
        <v>1.04</v>
      </c>
      <c r="B6" s="3">
        <v>45566</v>
      </c>
      <c r="C6" t="s">
        <v>147</v>
      </c>
    </row>
    <row r="7" spans="1:3" x14ac:dyDescent="0.2">
      <c r="A7" s="2">
        <v>1.05</v>
      </c>
      <c r="B7" s="3">
        <v>45931</v>
      </c>
      <c r="C7" t="s">
        <v>136</v>
      </c>
    </row>
    <row r="8" spans="1:3" x14ac:dyDescent="0.2">
      <c r="A8" s="2">
        <v>1.1000000000000001</v>
      </c>
      <c r="B8" s="3">
        <v>46296</v>
      </c>
      <c r="C8" t="s">
        <v>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B2:BQ69"/>
  <sheetViews>
    <sheetView showGridLines="0" workbookViewId="0">
      <pane ySplit="8" topLeftCell="A13" activePane="bottomLeft" state="frozen"/>
      <selection pane="bottomLeft" activeCell="G25" sqref="G25"/>
    </sheetView>
  </sheetViews>
  <sheetFormatPr baseColWidth="10" defaultColWidth="2.83203125" defaultRowHeight="17" x14ac:dyDescent="0.2"/>
  <cols>
    <col min="1" max="1" width="2.6640625" style="12" customWidth="1"/>
    <col min="2" max="2" width="37.83203125" style="22" bestFit="1" customWidth="1"/>
    <col min="3" max="5" width="7.1640625" style="11" customWidth="1"/>
    <col min="6" max="6" width="8.33203125" style="11" customWidth="1"/>
    <col min="7" max="7" width="7.1640625" style="23" customWidth="1"/>
    <col min="8" max="8" width="4.1640625" style="11" customWidth="1"/>
    <col min="9" max="28" width="6" style="11" customWidth="1"/>
    <col min="29" max="30" width="6" style="12" customWidth="1"/>
    <col min="31" max="16384" width="2.83203125" style="12"/>
  </cols>
  <sheetData>
    <row r="2" spans="2:69" ht="15" x14ac:dyDescent="0.2">
      <c r="B2" s="123" t="s">
        <v>152</v>
      </c>
      <c r="C2" s="123"/>
      <c r="D2" s="123"/>
      <c r="E2" s="123"/>
      <c r="F2" s="123"/>
      <c r="G2" s="123"/>
    </row>
    <row r="3" spans="2:69" ht="21" customHeight="1" x14ac:dyDescent="0.2">
      <c r="B3" s="123"/>
      <c r="C3" s="123"/>
      <c r="D3" s="123"/>
      <c r="E3" s="123"/>
      <c r="F3" s="123"/>
      <c r="G3" s="123"/>
      <c r="I3" s="13" t="s">
        <v>153</v>
      </c>
      <c r="J3" s="13"/>
      <c r="K3" s="13"/>
      <c r="L3" s="13"/>
      <c r="M3" s="13"/>
      <c r="N3" s="14">
        <v>1</v>
      </c>
      <c r="O3" s="13"/>
      <c r="Q3" s="15"/>
      <c r="R3" s="16" t="s">
        <v>154</v>
      </c>
      <c r="T3" s="17"/>
      <c r="U3" s="16" t="s">
        <v>155</v>
      </c>
      <c r="X3" s="18"/>
      <c r="Y3" s="19" t="s">
        <v>156</v>
      </c>
      <c r="AC3" s="20"/>
      <c r="AD3" s="19" t="s">
        <v>157</v>
      </c>
      <c r="AG3" s="11"/>
      <c r="AH3" s="11"/>
      <c r="AI3" s="11"/>
      <c r="AJ3" s="11"/>
      <c r="AK3" s="21"/>
      <c r="AL3" s="19" t="s">
        <v>158</v>
      </c>
    </row>
    <row r="4" spans="2:69" ht="18.75" customHeight="1" x14ac:dyDescent="0.2">
      <c r="B4" s="123"/>
      <c r="C4" s="123"/>
      <c r="D4" s="123"/>
      <c r="E4" s="123"/>
      <c r="F4" s="123"/>
      <c r="G4" s="123"/>
      <c r="AT4" s="11"/>
      <c r="AU4" s="11"/>
      <c r="AV4" s="11"/>
      <c r="AW4" s="11"/>
      <c r="AX4" s="11"/>
    </row>
    <row r="5" spans="2:69" x14ac:dyDescent="0.2">
      <c r="AT5" s="11"/>
      <c r="AU5" s="11"/>
      <c r="AV5" s="11"/>
    </row>
    <row r="6" spans="2:69" ht="15" x14ac:dyDescent="0.2">
      <c r="B6" s="24"/>
      <c r="C6" s="24" t="s">
        <v>159</v>
      </c>
      <c r="D6" s="24" t="s">
        <v>159</v>
      </c>
      <c r="E6" s="24" t="s">
        <v>160</v>
      </c>
      <c r="F6" s="24" t="s">
        <v>160</v>
      </c>
      <c r="G6" s="24" t="s">
        <v>161</v>
      </c>
      <c r="H6" s="24"/>
      <c r="I6" s="24"/>
      <c r="J6" s="24"/>
      <c r="AT6" s="11"/>
      <c r="AU6" s="11"/>
      <c r="AV6" s="11"/>
    </row>
    <row r="7" spans="2:69" ht="13.5" customHeight="1" x14ac:dyDescent="0.2">
      <c r="B7" s="25" t="s">
        <v>162</v>
      </c>
      <c r="C7" s="24" t="s">
        <v>163</v>
      </c>
      <c r="D7" s="24" t="s">
        <v>164</v>
      </c>
      <c r="E7" s="24" t="s">
        <v>163</v>
      </c>
      <c r="F7" s="24" t="s">
        <v>164</v>
      </c>
      <c r="G7" s="24" t="s">
        <v>165</v>
      </c>
      <c r="H7" s="24"/>
      <c r="I7" s="36">
        <v>42653</v>
      </c>
      <c r="J7" s="36">
        <f>I7+7</f>
        <v>42660</v>
      </c>
      <c r="K7" s="36">
        <f t="shared" ref="K7:AD7" si="0">J7+7</f>
        <v>42667</v>
      </c>
      <c r="L7" s="36">
        <f t="shared" si="0"/>
        <v>42674</v>
      </c>
      <c r="M7" s="36">
        <f t="shared" si="0"/>
        <v>42681</v>
      </c>
      <c r="N7" s="36">
        <f t="shared" si="0"/>
        <v>42688</v>
      </c>
      <c r="O7" s="36">
        <f t="shared" si="0"/>
        <v>42695</v>
      </c>
      <c r="P7" s="36">
        <f t="shared" si="0"/>
        <v>42702</v>
      </c>
      <c r="Q7" s="36">
        <f t="shared" si="0"/>
        <v>42709</v>
      </c>
      <c r="R7" s="36">
        <f t="shared" si="0"/>
        <v>42716</v>
      </c>
      <c r="S7" s="36">
        <f t="shared" si="0"/>
        <v>42723</v>
      </c>
      <c r="T7" s="36">
        <f t="shared" si="0"/>
        <v>42730</v>
      </c>
      <c r="U7" s="36">
        <f t="shared" si="0"/>
        <v>42737</v>
      </c>
      <c r="V7" s="36">
        <f t="shared" si="0"/>
        <v>42744</v>
      </c>
      <c r="W7" s="36">
        <f t="shared" si="0"/>
        <v>42751</v>
      </c>
      <c r="X7" s="36">
        <f t="shared" si="0"/>
        <v>42758</v>
      </c>
      <c r="Y7" s="36">
        <f t="shared" si="0"/>
        <v>42765</v>
      </c>
      <c r="Z7" s="36">
        <f t="shared" si="0"/>
        <v>42772</v>
      </c>
      <c r="AA7" s="36">
        <f t="shared" si="0"/>
        <v>42779</v>
      </c>
      <c r="AB7" s="36">
        <f t="shared" si="0"/>
        <v>42786</v>
      </c>
      <c r="AC7" s="36">
        <f t="shared" si="0"/>
        <v>42793</v>
      </c>
      <c r="AD7" s="36">
        <f t="shared" si="0"/>
        <v>42800</v>
      </c>
    </row>
    <row r="8" spans="2:69" ht="15.75" customHeight="1" x14ac:dyDescent="0.2">
      <c r="B8" s="26"/>
      <c r="C8" s="26"/>
      <c r="D8" s="26"/>
      <c r="E8" s="26"/>
      <c r="F8" s="26"/>
      <c r="G8" s="26"/>
      <c r="H8" s="26"/>
      <c r="I8" s="26">
        <v>1</v>
      </c>
      <c r="J8" s="26">
        <v>2</v>
      </c>
      <c r="K8" s="26">
        <v>3</v>
      </c>
      <c r="L8" s="26">
        <v>4</v>
      </c>
      <c r="M8" s="26">
        <v>5</v>
      </c>
      <c r="N8" s="26">
        <v>6</v>
      </c>
      <c r="O8" s="26">
        <v>7</v>
      </c>
      <c r="P8" s="26">
        <v>8</v>
      </c>
      <c r="Q8" s="26">
        <v>9</v>
      </c>
      <c r="R8" s="26">
        <v>10</v>
      </c>
      <c r="S8" s="26">
        <v>11</v>
      </c>
      <c r="T8" s="26">
        <v>12</v>
      </c>
      <c r="U8" s="26">
        <v>13</v>
      </c>
      <c r="V8" s="26">
        <v>14</v>
      </c>
      <c r="W8" s="26">
        <v>15</v>
      </c>
      <c r="X8" s="26">
        <v>16</v>
      </c>
      <c r="Y8" s="26">
        <v>17</v>
      </c>
      <c r="Z8" s="26">
        <v>18</v>
      </c>
      <c r="AA8" s="26">
        <v>19</v>
      </c>
      <c r="AB8" s="26">
        <v>20</v>
      </c>
      <c r="AC8" s="26">
        <v>21</v>
      </c>
      <c r="AD8" s="26">
        <v>22</v>
      </c>
      <c r="AE8" s="26">
        <v>23</v>
      </c>
      <c r="AF8" s="26">
        <v>24</v>
      </c>
      <c r="AG8" s="26">
        <v>25</v>
      </c>
      <c r="AH8" s="26">
        <v>26</v>
      </c>
      <c r="AI8" s="26">
        <v>27</v>
      </c>
      <c r="AJ8" s="26">
        <v>28</v>
      </c>
      <c r="AK8" s="26">
        <v>29</v>
      </c>
      <c r="AL8" s="26">
        <v>30</v>
      </c>
      <c r="AM8" s="26">
        <v>31</v>
      </c>
      <c r="AN8" s="26">
        <v>32</v>
      </c>
      <c r="AO8" s="26">
        <v>33</v>
      </c>
      <c r="AP8" s="26">
        <v>34</v>
      </c>
      <c r="AQ8" s="26">
        <v>35</v>
      </c>
      <c r="AR8" s="26">
        <v>36</v>
      </c>
      <c r="AS8" s="26">
        <v>37</v>
      </c>
      <c r="AT8" s="26">
        <v>38</v>
      </c>
      <c r="AU8" s="26">
        <v>39</v>
      </c>
      <c r="AV8" s="26">
        <v>40</v>
      </c>
      <c r="AW8" s="26">
        <v>41</v>
      </c>
      <c r="AX8" s="26">
        <v>42</v>
      </c>
      <c r="AY8" s="26">
        <v>43</v>
      </c>
      <c r="AZ8" s="26">
        <v>44</v>
      </c>
      <c r="BA8" s="26">
        <v>45</v>
      </c>
      <c r="BB8" s="26">
        <v>46</v>
      </c>
      <c r="BC8" s="26">
        <v>47</v>
      </c>
      <c r="BD8" s="26">
        <v>48</v>
      </c>
      <c r="BE8" s="26">
        <v>49</v>
      </c>
      <c r="BF8" s="26">
        <v>50</v>
      </c>
      <c r="BG8" s="26">
        <v>51</v>
      </c>
      <c r="BH8" s="26">
        <v>52</v>
      </c>
      <c r="BI8" s="26">
        <v>53</v>
      </c>
      <c r="BJ8" s="26">
        <v>54</v>
      </c>
      <c r="BK8" s="26">
        <v>55</v>
      </c>
      <c r="BL8" s="26">
        <v>56</v>
      </c>
      <c r="BM8" s="26">
        <v>57</v>
      </c>
      <c r="BN8" s="26">
        <v>58</v>
      </c>
      <c r="BO8" s="26">
        <v>59</v>
      </c>
      <c r="BP8" s="26">
        <v>60</v>
      </c>
      <c r="BQ8" s="11"/>
    </row>
    <row r="9" spans="2:69" ht="19" customHeight="1" x14ac:dyDescent="0.2">
      <c r="B9" s="37" t="s">
        <v>236</v>
      </c>
      <c r="C9" s="28">
        <v>1</v>
      </c>
      <c r="D9" s="28">
        <v>6</v>
      </c>
      <c r="E9" s="28">
        <v>1</v>
      </c>
      <c r="F9" s="28"/>
      <c r="G9" s="29">
        <v>0.3</v>
      </c>
    </row>
    <row r="10" spans="2:69" ht="18.75" customHeight="1" x14ac:dyDescent="0.2">
      <c r="B10" s="32"/>
      <c r="C10" s="28"/>
      <c r="D10" s="28"/>
      <c r="E10" s="28"/>
      <c r="F10" s="28"/>
      <c r="G10" s="29"/>
    </row>
    <row r="11" spans="2:69" ht="19" customHeight="1" x14ac:dyDescent="0.2">
      <c r="B11" s="37" t="s">
        <v>216</v>
      </c>
      <c r="C11" s="28">
        <v>1</v>
      </c>
      <c r="D11" s="28"/>
      <c r="E11" s="28"/>
      <c r="F11" s="28"/>
      <c r="G11" s="29">
        <v>1</v>
      </c>
    </row>
    <row r="12" spans="2:69" ht="19" customHeight="1" x14ac:dyDescent="0.2">
      <c r="B12" s="32" t="s">
        <v>218</v>
      </c>
      <c r="C12" s="28"/>
      <c r="D12" s="28"/>
      <c r="E12" s="28"/>
      <c r="F12" s="28"/>
      <c r="G12" s="29"/>
    </row>
    <row r="13" spans="2:69" ht="19" customHeight="1" x14ac:dyDescent="0.2">
      <c r="B13" s="27"/>
      <c r="C13" s="28"/>
      <c r="D13" s="28"/>
      <c r="E13" s="28"/>
      <c r="F13" s="28"/>
      <c r="G13" s="29"/>
    </row>
    <row r="14" spans="2:69" ht="19" customHeight="1" x14ac:dyDescent="0.2">
      <c r="B14" s="37" t="s">
        <v>217</v>
      </c>
      <c r="C14" s="28">
        <v>1</v>
      </c>
      <c r="D14" s="28">
        <v>6</v>
      </c>
      <c r="E14" s="28"/>
      <c r="F14" s="28"/>
      <c r="G14" s="29">
        <v>0.2</v>
      </c>
    </row>
    <row r="15" spans="2:69" ht="19" customHeight="1" x14ac:dyDescent="0.2">
      <c r="B15" s="38" t="s">
        <v>222</v>
      </c>
      <c r="C15" s="28">
        <v>1</v>
      </c>
      <c r="D15" s="28">
        <v>3</v>
      </c>
      <c r="E15" s="28"/>
      <c r="F15" s="28"/>
      <c r="G15" s="29">
        <v>0.75</v>
      </c>
    </row>
    <row r="16" spans="2:69" ht="19" customHeight="1" x14ac:dyDescent="0.2">
      <c r="B16" s="32" t="s">
        <v>219</v>
      </c>
      <c r="C16" s="28">
        <v>1</v>
      </c>
      <c r="D16" s="28">
        <v>2</v>
      </c>
      <c r="E16" s="28">
        <v>1</v>
      </c>
      <c r="F16" s="28">
        <v>3</v>
      </c>
      <c r="G16" s="29">
        <v>1</v>
      </c>
    </row>
    <row r="17" spans="2:7" ht="19" customHeight="1" x14ac:dyDescent="0.2">
      <c r="B17" s="33" t="s">
        <v>221</v>
      </c>
      <c r="C17" s="28">
        <v>1</v>
      </c>
      <c r="D17" s="28">
        <v>1</v>
      </c>
      <c r="E17" s="28">
        <v>1</v>
      </c>
      <c r="F17" s="28"/>
      <c r="G17" s="29">
        <v>0.9</v>
      </c>
    </row>
    <row r="18" spans="2:7" ht="19" customHeight="1" x14ac:dyDescent="0.2">
      <c r="B18" s="33" t="s">
        <v>220</v>
      </c>
      <c r="C18" s="28">
        <v>1</v>
      </c>
      <c r="D18" s="28">
        <v>1</v>
      </c>
      <c r="E18" s="28">
        <v>1</v>
      </c>
      <c r="F18" s="28">
        <v>1</v>
      </c>
      <c r="G18" s="29">
        <v>1</v>
      </c>
    </row>
    <row r="19" spans="2:7" ht="19" customHeight="1" x14ac:dyDescent="0.2">
      <c r="B19" s="33" t="s">
        <v>224</v>
      </c>
      <c r="C19" s="28">
        <v>1</v>
      </c>
      <c r="D19" s="28">
        <v>3</v>
      </c>
      <c r="E19" s="28">
        <v>2</v>
      </c>
      <c r="F19" s="28"/>
      <c r="G19" s="29">
        <v>0.5</v>
      </c>
    </row>
    <row r="20" spans="2:7" ht="19" customHeight="1" x14ac:dyDescent="0.2">
      <c r="B20" s="39" t="s">
        <v>223</v>
      </c>
      <c r="C20" s="28">
        <v>2</v>
      </c>
      <c r="D20" s="28">
        <v>3</v>
      </c>
      <c r="E20" s="28">
        <v>2</v>
      </c>
      <c r="F20" s="28"/>
      <c r="G20" s="29">
        <v>0.25</v>
      </c>
    </row>
    <row r="21" spans="2:7" ht="19" customHeight="1" x14ac:dyDescent="0.2">
      <c r="B21" s="32" t="s">
        <v>225</v>
      </c>
      <c r="C21" s="28">
        <v>2</v>
      </c>
      <c r="D21" s="28">
        <v>2</v>
      </c>
      <c r="E21" s="28">
        <v>2</v>
      </c>
      <c r="F21" s="28"/>
      <c r="G21" s="29">
        <v>0.8</v>
      </c>
    </row>
    <row r="22" spans="2:7" ht="19" customHeight="1" x14ac:dyDescent="0.2">
      <c r="B22" s="32" t="s">
        <v>226</v>
      </c>
      <c r="C22" s="28">
        <v>3</v>
      </c>
      <c r="D22" s="28">
        <v>1</v>
      </c>
      <c r="E22" s="28"/>
      <c r="F22" s="28"/>
      <c r="G22" s="29">
        <v>0</v>
      </c>
    </row>
    <row r="23" spans="2:7" ht="19" customHeight="1" x14ac:dyDescent="0.2">
      <c r="B23" s="39" t="s">
        <v>191</v>
      </c>
      <c r="C23" s="28">
        <v>2</v>
      </c>
      <c r="D23" s="28">
        <v>3</v>
      </c>
      <c r="E23" s="28">
        <v>3</v>
      </c>
      <c r="F23" s="28"/>
      <c r="G23" s="29">
        <v>0.5</v>
      </c>
    </row>
    <row r="24" spans="2:7" ht="19" customHeight="1" x14ac:dyDescent="0.2">
      <c r="B24" s="32" t="s">
        <v>227</v>
      </c>
      <c r="C24" s="28">
        <v>3</v>
      </c>
      <c r="D24" s="28">
        <v>5</v>
      </c>
      <c r="E24" s="28">
        <v>3</v>
      </c>
      <c r="F24" s="28"/>
      <c r="G24" s="29">
        <v>0.9</v>
      </c>
    </row>
    <row r="25" spans="2:7" ht="19" customHeight="1" x14ac:dyDescent="0.2">
      <c r="B25" s="33" t="s">
        <v>228</v>
      </c>
      <c r="C25" s="28">
        <v>3</v>
      </c>
      <c r="D25" s="28">
        <v>1</v>
      </c>
      <c r="E25" s="28">
        <v>4</v>
      </c>
      <c r="F25" s="28">
        <v>1</v>
      </c>
      <c r="G25" s="29">
        <v>1</v>
      </c>
    </row>
    <row r="26" spans="2:7" ht="19" customHeight="1" x14ac:dyDescent="0.2">
      <c r="B26" s="33" t="s">
        <v>229</v>
      </c>
      <c r="C26" s="28">
        <v>4</v>
      </c>
      <c r="D26" s="28">
        <v>1</v>
      </c>
      <c r="E26" s="28"/>
      <c r="F26" s="28"/>
      <c r="G26" s="29">
        <v>0</v>
      </c>
    </row>
    <row r="27" spans="2:7" ht="19" customHeight="1" x14ac:dyDescent="0.2">
      <c r="B27" s="35" t="s">
        <v>230</v>
      </c>
      <c r="C27" s="28">
        <v>5</v>
      </c>
      <c r="D27" s="28">
        <v>1</v>
      </c>
      <c r="E27" s="28"/>
      <c r="F27" s="28"/>
      <c r="G27" s="29">
        <v>0</v>
      </c>
    </row>
    <row r="28" spans="2:7" ht="19" customHeight="1" x14ac:dyDescent="0.2">
      <c r="B28" s="34" t="s">
        <v>232</v>
      </c>
      <c r="C28" s="28">
        <v>5</v>
      </c>
      <c r="D28" s="28">
        <v>1</v>
      </c>
      <c r="E28" s="28"/>
      <c r="F28" s="28"/>
      <c r="G28" s="29">
        <v>0</v>
      </c>
    </row>
    <row r="29" spans="2:7" ht="19" customHeight="1" x14ac:dyDescent="0.2">
      <c r="B29" s="27"/>
      <c r="C29" s="28"/>
      <c r="D29" s="28"/>
      <c r="E29" s="28"/>
      <c r="F29" s="28"/>
      <c r="G29" s="29"/>
    </row>
    <row r="30" spans="2:7" ht="19" customHeight="1" x14ac:dyDescent="0.2">
      <c r="B30" s="37" t="s">
        <v>238</v>
      </c>
      <c r="C30" s="28">
        <v>4</v>
      </c>
      <c r="D30" s="28">
        <v>3</v>
      </c>
      <c r="E30" s="28">
        <v>4</v>
      </c>
      <c r="F30" s="28"/>
      <c r="G30" s="29">
        <v>0</v>
      </c>
    </row>
    <row r="31" spans="2:7" ht="19" customHeight="1" x14ac:dyDescent="0.2">
      <c r="B31" s="32" t="s">
        <v>240</v>
      </c>
      <c r="C31" s="28">
        <v>4</v>
      </c>
      <c r="D31" s="28">
        <v>2</v>
      </c>
      <c r="E31" s="28">
        <v>4</v>
      </c>
      <c r="F31" s="28"/>
      <c r="G31" s="29">
        <v>0.05</v>
      </c>
    </row>
    <row r="32" spans="2:7" ht="19" customHeight="1" x14ac:dyDescent="0.2">
      <c r="B32" s="32" t="s">
        <v>239</v>
      </c>
      <c r="C32" s="28">
        <v>6</v>
      </c>
      <c r="D32" s="28">
        <v>2</v>
      </c>
      <c r="E32" s="28"/>
      <c r="F32" s="28"/>
      <c r="G32" s="29">
        <v>0</v>
      </c>
    </row>
    <row r="33" spans="2:69" ht="19" customHeight="1" x14ac:dyDescent="0.2">
      <c r="B33" s="32" t="s">
        <v>241</v>
      </c>
      <c r="C33" s="28">
        <v>6</v>
      </c>
      <c r="D33" s="28">
        <v>1</v>
      </c>
      <c r="E33" s="28"/>
      <c r="F33" s="28"/>
      <c r="G33" s="29">
        <v>0</v>
      </c>
    </row>
    <row r="34" spans="2:69" ht="19" customHeight="1" x14ac:dyDescent="0.2">
      <c r="B34" s="27"/>
      <c r="C34" s="28"/>
      <c r="D34" s="28"/>
      <c r="E34" s="28"/>
      <c r="F34" s="28"/>
      <c r="G34" s="29"/>
    </row>
    <row r="35" spans="2:69" ht="19" customHeight="1" x14ac:dyDescent="0.2">
      <c r="B35" s="40" t="s">
        <v>237</v>
      </c>
      <c r="C35" s="28"/>
      <c r="D35" s="28"/>
      <c r="E35" s="28"/>
      <c r="F35" s="28"/>
      <c r="G35" s="29"/>
    </row>
    <row r="36" spans="2:69" ht="19" customHeight="1" x14ac:dyDescent="0.2">
      <c r="B36" s="27"/>
      <c r="C36" s="28"/>
      <c r="D36" s="28"/>
      <c r="E36" s="28"/>
      <c r="F36" s="28"/>
      <c r="G36" s="29"/>
    </row>
    <row r="37" spans="2:69" ht="19" customHeight="1" x14ac:dyDescent="0.2">
      <c r="B37" s="40" t="s">
        <v>231</v>
      </c>
      <c r="C37" s="28">
        <v>7</v>
      </c>
      <c r="D37" s="28">
        <v>3</v>
      </c>
      <c r="E37" s="28"/>
      <c r="F37" s="28"/>
      <c r="G37" s="29">
        <v>0</v>
      </c>
    </row>
    <row r="38" spans="2:69" ht="19" customHeight="1" x14ac:dyDescent="0.2">
      <c r="B38" s="32" t="s">
        <v>233</v>
      </c>
      <c r="C38" s="28">
        <v>7</v>
      </c>
      <c r="D38" s="28">
        <v>1</v>
      </c>
      <c r="E38" s="28"/>
      <c r="F38" s="28"/>
      <c r="G38" s="29">
        <v>0</v>
      </c>
    </row>
    <row r="39" spans="2:69" s="11" customFormat="1" ht="19" customHeight="1" x14ac:dyDescent="0.2">
      <c r="B39" s="32" t="s">
        <v>234</v>
      </c>
      <c r="C39" s="28">
        <v>7</v>
      </c>
      <c r="D39" s="28">
        <v>2</v>
      </c>
      <c r="E39" s="28"/>
      <c r="F39" s="28"/>
      <c r="G39" s="29">
        <v>0</v>
      </c>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row>
    <row r="40" spans="2:69" s="11" customFormat="1" ht="19" customHeight="1" x14ac:dyDescent="0.2">
      <c r="B40" s="34" t="s">
        <v>235</v>
      </c>
      <c r="C40" s="28">
        <v>7</v>
      </c>
      <c r="D40" s="28">
        <v>2</v>
      </c>
      <c r="E40" s="28"/>
      <c r="F40" s="28"/>
      <c r="G40" s="29">
        <v>0</v>
      </c>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row>
    <row r="41" spans="2:69" s="11" customFormat="1" ht="19" customHeight="1" x14ac:dyDescent="0.2">
      <c r="B41" s="27"/>
      <c r="C41" s="28"/>
      <c r="D41" s="28"/>
      <c r="E41" s="28"/>
      <c r="F41" s="28"/>
      <c r="G41" s="29"/>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row>
    <row r="42" spans="2:69" s="11" customFormat="1" ht="19" customHeight="1" x14ac:dyDescent="0.2">
      <c r="B42" s="27"/>
      <c r="C42" s="28"/>
      <c r="D42" s="28"/>
      <c r="E42" s="28"/>
      <c r="F42" s="28"/>
      <c r="G42" s="29"/>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row>
    <row r="43" spans="2:69" s="11" customFormat="1" ht="19" customHeight="1" x14ac:dyDescent="0.2">
      <c r="B43" s="27"/>
      <c r="C43" s="28"/>
      <c r="D43" s="28"/>
      <c r="E43" s="28"/>
      <c r="F43" s="28"/>
      <c r="G43" s="29"/>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row>
    <row r="44" spans="2:69" s="11" customFormat="1" ht="19" customHeight="1" x14ac:dyDescent="0.2">
      <c r="B44" s="27"/>
      <c r="C44" s="28"/>
      <c r="D44" s="28"/>
      <c r="E44" s="28"/>
      <c r="F44" s="28"/>
      <c r="G44" s="29"/>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row>
    <row r="45" spans="2:69" s="11" customFormat="1" ht="19" customHeight="1" x14ac:dyDescent="0.2">
      <c r="B45" s="27"/>
      <c r="C45" s="28"/>
      <c r="D45" s="28"/>
      <c r="E45" s="28"/>
      <c r="F45" s="28"/>
      <c r="G45" s="29"/>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row>
    <row r="46" spans="2:69" s="11" customFormat="1" ht="19" customHeight="1" x14ac:dyDescent="0.2">
      <c r="B46" s="27"/>
      <c r="C46" s="28"/>
      <c r="D46" s="28"/>
      <c r="E46" s="28"/>
      <c r="F46" s="28"/>
      <c r="G46" s="29"/>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row>
    <row r="47" spans="2:69" s="11" customFormat="1" ht="19" customHeight="1" x14ac:dyDescent="0.2">
      <c r="B47" s="27"/>
      <c r="C47" s="28"/>
      <c r="D47" s="28"/>
      <c r="E47" s="28"/>
      <c r="F47" s="28"/>
      <c r="G47" s="29"/>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row>
    <row r="48" spans="2:69" s="11" customFormat="1" ht="19" customHeight="1" x14ac:dyDescent="0.2">
      <c r="B48" s="27"/>
      <c r="C48" s="28"/>
      <c r="D48" s="28"/>
      <c r="E48" s="28"/>
      <c r="F48" s="28"/>
      <c r="G48" s="29"/>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row>
    <row r="49" spans="2:69" s="11" customFormat="1" ht="19" customHeight="1" x14ac:dyDescent="0.2">
      <c r="B49" s="27"/>
      <c r="C49" s="28"/>
      <c r="D49" s="28"/>
      <c r="E49" s="28"/>
      <c r="F49" s="28"/>
      <c r="G49" s="29"/>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row>
    <row r="50" spans="2:69" s="11" customFormat="1" ht="19" customHeight="1" x14ac:dyDescent="0.2">
      <c r="B50" s="27"/>
      <c r="C50" s="28"/>
      <c r="D50" s="28"/>
      <c r="E50" s="28"/>
      <c r="F50" s="28"/>
      <c r="G50" s="29"/>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row>
    <row r="51" spans="2:69" s="11" customFormat="1" ht="19" customHeight="1" x14ac:dyDescent="0.2">
      <c r="B51" s="27"/>
      <c r="C51" s="28"/>
      <c r="D51" s="28"/>
      <c r="E51" s="28"/>
      <c r="F51" s="28"/>
      <c r="G51" s="29"/>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row>
    <row r="52" spans="2:69" s="11" customFormat="1" ht="19" customHeight="1" x14ac:dyDescent="0.2">
      <c r="B52" s="27"/>
      <c r="C52" s="28"/>
      <c r="D52" s="28"/>
      <c r="E52" s="28"/>
      <c r="F52" s="28"/>
      <c r="G52" s="29"/>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row>
    <row r="53" spans="2:69" s="11" customFormat="1" ht="19" customHeight="1" x14ac:dyDescent="0.2">
      <c r="B53" s="27"/>
      <c r="C53" s="28"/>
      <c r="D53" s="28"/>
      <c r="E53" s="28"/>
      <c r="F53" s="28"/>
      <c r="G53" s="29"/>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row>
    <row r="54" spans="2:69" s="11" customFormat="1" ht="19" customHeight="1" x14ac:dyDescent="0.2">
      <c r="B54" s="27"/>
      <c r="C54" s="28"/>
      <c r="D54" s="28"/>
      <c r="E54" s="28"/>
      <c r="F54" s="28"/>
      <c r="G54" s="29"/>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row>
    <row r="55" spans="2:69" s="11" customFormat="1" ht="19" customHeight="1" x14ac:dyDescent="0.2">
      <c r="B55" s="27"/>
      <c r="C55" s="28"/>
      <c r="D55" s="28"/>
      <c r="E55" s="28"/>
      <c r="F55" s="28"/>
      <c r="G55" s="29"/>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row>
    <row r="56" spans="2:69" s="11" customFormat="1" ht="19" customHeight="1" x14ac:dyDescent="0.2">
      <c r="B56" s="27"/>
      <c r="C56" s="28"/>
      <c r="D56" s="28"/>
      <c r="E56" s="28"/>
      <c r="F56" s="28"/>
      <c r="G56" s="29"/>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row>
    <row r="57" spans="2:69" s="11" customFormat="1" ht="19" customHeight="1" x14ac:dyDescent="0.2">
      <c r="B57" s="27"/>
      <c r="C57" s="28"/>
      <c r="D57" s="28"/>
      <c r="E57" s="28"/>
      <c r="F57" s="28"/>
      <c r="G57" s="29"/>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row>
    <row r="58" spans="2:69" s="11" customFormat="1" ht="19" customHeight="1" x14ac:dyDescent="0.2">
      <c r="B58" s="27"/>
      <c r="C58" s="28"/>
      <c r="D58" s="28"/>
      <c r="E58" s="28"/>
      <c r="F58" s="28"/>
      <c r="G58" s="29"/>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row>
    <row r="59" spans="2:69" s="11" customFormat="1" ht="19" customHeight="1" x14ac:dyDescent="0.2">
      <c r="B59" s="27"/>
      <c r="C59" s="28"/>
      <c r="D59" s="28"/>
      <c r="E59" s="28"/>
      <c r="F59" s="28"/>
      <c r="G59" s="29"/>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row>
    <row r="60" spans="2:69" s="11" customFormat="1" ht="19" customHeight="1" x14ac:dyDescent="0.2">
      <c r="B60" s="27"/>
      <c r="C60" s="28"/>
      <c r="D60" s="28"/>
      <c r="E60" s="28"/>
      <c r="F60" s="28"/>
      <c r="G60" s="29"/>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row>
    <row r="61" spans="2:69" s="11" customFormat="1" ht="19" customHeight="1" x14ac:dyDescent="0.2">
      <c r="B61" s="27"/>
      <c r="C61" s="28"/>
      <c r="D61" s="28"/>
      <c r="E61" s="28"/>
      <c r="F61" s="28"/>
      <c r="G61" s="29"/>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row>
    <row r="62" spans="2:69" s="11" customFormat="1" ht="19" customHeight="1" x14ac:dyDescent="0.2">
      <c r="B62" s="27"/>
      <c r="C62" s="28"/>
      <c r="D62" s="28"/>
      <c r="E62" s="28"/>
      <c r="F62" s="28"/>
      <c r="G62" s="29"/>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row>
    <row r="63" spans="2:69" s="11" customFormat="1" ht="19" customHeight="1" x14ac:dyDescent="0.2">
      <c r="B63" s="27"/>
      <c r="C63" s="28"/>
      <c r="D63" s="28"/>
      <c r="E63" s="28"/>
      <c r="F63" s="28"/>
      <c r="G63" s="29"/>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row>
    <row r="64" spans="2:69" s="11" customFormat="1" ht="19" customHeight="1" x14ac:dyDescent="0.2">
      <c r="B64" s="27"/>
      <c r="C64" s="28"/>
      <c r="D64" s="28"/>
      <c r="E64" s="28"/>
      <c r="F64" s="28"/>
      <c r="G64" s="29"/>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row>
    <row r="65" spans="2:69" s="11" customFormat="1" ht="19" customHeight="1" x14ac:dyDescent="0.2">
      <c r="B65" s="27"/>
      <c r="C65" s="28"/>
      <c r="D65" s="28"/>
      <c r="E65" s="28"/>
      <c r="F65" s="28"/>
      <c r="G65" s="29"/>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row>
    <row r="66" spans="2:69" s="11" customFormat="1" ht="19" customHeight="1" x14ac:dyDescent="0.2">
      <c r="B66" s="27"/>
      <c r="C66" s="28"/>
      <c r="D66" s="28"/>
      <c r="E66" s="28"/>
      <c r="F66" s="28"/>
      <c r="G66" s="29"/>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row>
    <row r="67" spans="2:69" s="11" customFormat="1" ht="19" customHeight="1" x14ac:dyDescent="0.2">
      <c r="B67" s="27"/>
      <c r="C67" s="28"/>
      <c r="D67" s="28"/>
      <c r="E67" s="28"/>
      <c r="F67" s="28"/>
      <c r="G67" s="29"/>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row>
    <row r="68" spans="2:69" s="11" customFormat="1" ht="19" customHeight="1" x14ac:dyDescent="0.2">
      <c r="B68" s="27"/>
      <c r="C68" s="28"/>
      <c r="D68" s="28"/>
      <c r="E68" s="28"/>
      <c r="F68" s="28"/>
      <c r="G68" s="29"/>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row>
    <row r="69" spans="2:69" s="11" customFormat="1" ht="19" customHeight="1" x14ac:dyDescent="0.2">
      <c r="B69" s="27"/>
      <c r="C69" s="28">
        <v>16</v>
      </c>
      <c r="D69" s="28">
        <v>28</v>
      </c>
      <c r="E69" s="28">
        <v>16</v>
      </c>
      <c r="F69" s="28">
        <v>30</v>
      </c>
      <c r="G69" s="29">
        <v>0.5</v>
      </c>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row>
  </sheetData>
  <mergeCells count="1">
    <mergeCell ref="B2:G4"/>
  </mergeCells>
  <conditionalFormatting sqref="I9:BP69">
    <cfRule type="expression" dxfId="156" priority="1">
      <formula>PercentComplete</formula>
    </cfRule>
    <cfRule type="expression" dxfId="155" priority="3">
      <formula>PercentCompleteBeyond</formula>
    </cfRule>
    <cfRule type="expression" dxfId="154" priority="4">
      <formula>Actual</formula>
    </cfRule>
    <cfRule type="expression" dxfId="153" priority="5">
      <formula>ActualBeyond</formula>
    </cfRule>
    <cfRule type="expression" dxfId="152" priority="6">
      <formula>Plan</formula>
    </cfRule>
    <cfRule type="expression" dxfId="151" priority="7">
      <formula>I$8=period_selected</formula>
    </cfRule>
    <cfRule type="expression" dxfId="150" priority="9">
      <formula>MOD(COLUMN(),2)</formula>
    </cfRule>
    <cfRule type="expression" dxfId="149" priority="10">
      <formula>MOD(COLUMN(),2)=0</formula>
    </cfRule>
  </conditionalFormatting>
  <conditionalFormatting sqref="B70:BP70">
    <cfRule type="expression" dxfId="148" priority="2">
      <formula>TRUE</formula>
    </cfRule>
  </conditionalFormatting>
  <conditionalFormatting sqref="I8:BP8">
    <cfRule type="expression" dxfId="147" priority="8">
      <formula>I$8=period_selected</formula>
    </cfRule>
  </conditionalFormatting>
  <pageMargins left="0.45" right="0.45" top="0.5" bottom="0.5" header="0.3" footer="0.3"/>
  <pageSetup scale="4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print="0" autoPict="0" altText="Period Highlight Spin Control">
                <anchor moveWithCells="1">
                  <from>
                    <xdr:col>14</xdr:col>
                    <xdr:colOff>63500</xdr:colOff>
                    <xdr:row>2</xdr:row>
                    <xdr:rowOff>25400</xdr:rowOff>
                  </from>
                  <to>
                    <xdr:col>14</xdr:col>
                    <xdr:colOff>203200</xdr:colOff>
                    <xdr:row>2</xdr:row>
                    <xdr:rowOff>254000</xdr:rowOff>
                  </to>
                </anchor>
              </controlPr>
            </control>
          </mc:Choice>
          <mc:Fallback/>
        </mc:AlternateContent>
      </controls>
    </mc:Choice>
    <mc:Fallback/>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B1:BP59"/>
  <sheetViews>
    <sheetView showGridLines="0" zoomScale="70" zoomScaleNormal="70" zoomScalePageLayoutView="70" workbookViewId="0">
      <pane ySplit="8" topLeftCell="A9" activePane="bottomLeft" state="frozen"/>
      <selection pane="bottomLeft" activeCell="M28" sqref="M28"/>
    </sheetView>
  </sheetViews>
  <sheetFormatPr baseColWidth="10" defaultColWidth="2.83203125" defaultRowHeight="16" customHeight="1" x14ac:dyDescent="0.2"/>
  <cols>
    <col min="1" max="1" width="2.6640625" style="42" customWidth="1"/>
    <col min="2" max="2" width="58.1640625" style="47" customWidth="1"/>
    <col min="3" max="3" width="5.83203125" style="41" hidden="1" customWidth="1"/>
    <col min="4" max="4" width="9.5" style="41" hidden="1" customWidth="1"/>
    <col min="5" max="5" width="7.1640625" style="41" hidden="1" customWidth="1"/>
    <col min="6" max="6" width="9.5" style="41" hidden="1" customWidth="1"/>
    <col min="7" max="7" width="12.33203125" style="48" bestFit="1" customWidth="1"/>
    <col min="8" max="27" width="10.83203125" style="41" customWidth="1"/>
    <col min="28" max="34" width="10.83203125" style="42" customWidth="1"/>
    <col min="35" max="42" width="6.33203125" style="42" customWidth="1"/>
    <col min="43" max="67" width="4" style="42" bestFit="1" customWidth="1"/>
    <col min="68" max="16384" width="2.83203125" style="42"/>
  </cols>
  <sheetData>
    <row r="1" spans="2:68" s="103" customFormat="1" ht="16" customHeight="1" x14ac:dyDescent="0.25">
      <c r="B1" s="112"/>
      <c r="C1" s="90"/>
      <c r="D1" s="90"/>
      <c r="E1" s="90"/>
      <c r="F1" s="90"/>
      <c r="G1" s="113"/>
      <c r="H1" s="90"/>
      <c r="I1" s="90"/>
      <c r="J1" s="90"/>
      <c r="K1" s="90"/>
      <c r="L1" s="90"/>
      <c r="M1" s="90"/>
      <c r="N1" s="90"/>
      <c r="O1" s="90"/>
      <c r="P1" s="90"/>
      <c r="Q1" s="90"/>
      <c r="R1" s="90"/>
      <c r="S1" s="90"/>
      <c r="T1" s="90"/>
      <c r="U1" s="90"/>
      <c r="V1" s="90"/>
      <c r="W1" s="90"/>
      <c r="X1" s="90"/>
      <c r="Y1" s="90"/>
      <c r="Z1" s="90"/>
      <c r="AA1" s="90"/>
    </row>
    <row r="2" spans="2:68" s="103" customFormat="1" ht="16" customHeight="1" x14ac:dyDescent="0.25">
      <c r="B2" s="124" t="s">
        <v>152</v>
      </c>
      <c r="C2" s="124"/>
      <c r="D2" s="124"/>
      <c r="E2" s="124"/>
      <c r="F2" s="124"/>
      <c r="G2" s="114"/>
      <c r="H2" s="90"/>
      <c r="I2" s="90"/>
      <c r="J2" s="90"/>
      <c r="K2" s="90"/>
      <c r="L2" s="90"/>
      <c r="M2" s="90"/>
      <c r="N2" s="90"/>
      <c r="O2" s="90"/>
      <c r="P2" s="90"/>
      <c r="Q2" s="90"/>
      <c r="R2" s="90"/>
      <c r="S2" s="90"/>
      <c r="T2" s="90"/>
      <c r="U2" s="90"/>
      <c r="V2" s="90"/>
      <c r="W2" s="90"/>
      <c r="X2" s="90"/>
      <c r="Y2" s="90"/>
      <c r="Z2" s="90"/>
      <c r="AA2" s="90"/>
    </row>
    <row r="3" spans="2:68" s="103" customFormat="1" ht="16" customHeight="1" x14ac:dyDescent="0.25">
      <c r="B3" s="124"/>
      <c r="C3" s="124"/>
      <c r="D3" s="124"/>
      <c r="E3" s="124"/>
      <c r="F3" s="124"/>
      <c r="G3" s="114"/>
      <c r="H3" s="115" t="s">
        <v>153</v>
      </c>
      <c r="I3" s="115"/>
      <c r="J3" s="115"/>
      <c r="K3" s="115"/>
      <c r="L3" s="115"/>
      <c r="M3" s="14">
        <v>17</v>
      </c>
      <c r="N3" s="115"/>
      <c r="O3" s="90"/>
      <c r="P3" s="116"/>
      <c r="Q3" s="117" t="s">
        <v>154</v>
      </c>
      <c r="R3" s="90"/>
      <c r="S3" s="118"/>
      <c r="T3" s="117" t="s">
        <v>155</v>
      </c>
      <c r="U3" s="90"/>
      <c r="V3" s="119"/>
      <c r="W3" s="120" t="s">
        <v>379</v>
      </c>
      <c r="X3" s="90"/>
      <c r="Y3" s="90"/>
      <c r="Z3" s="90"/>
      <c r="AA3" s="90"/>
      <c r="AF3" s="90"/>
      <c r="AG3" s="90"/>
      <c r="AH3" s="90"/>
      <c r="AI3" s="90"/>
      <c r="AJ3" s="121"/>
      <c r="AK3" s="120" t="s">
        <v>380</v>
      </c>
    </row>
    <row r="4" spans="2:68" s="103" customFormat="1" ht="16" customHeight="1" x14ac:dyDescent="0.25">
      <c r="B4" s="124"/>
      <c r="C4" s="124"/>
      <c r="D4" s="124"/>
      <c r="E4" s="124"/>
      <c r="F4" s="124"/>
      <c r="G4" s="114"/>
      <c r="H4" s="90"/>
      <c r="I4" s="90"/>
      <c r="J4" s="90"/>
      <c r="K4" s="90"/>
      <c r="L4" s="90"/>
      <c r="M4" s="90"/>
      <c r="N4" s="90"/>
      <c r="O4" s="90"/>
      <c r="P4" s="90"/>
      <c r="Q4" s="90"/>
      <c r="R4" s="90"/>
      <c r="S4" s="90"/>
      <c r="T4" s="90"/>
      <c r="U4" s="90"/>
      <c r="V4" s="90"/>
      <c r="W4" s="90"/>
      <c r="X4" s="90"/>
      <c r="Y4" s="90"/>
      <c r="Z4" s="90"/>
      <c r="AA4" s="90"/>
      <c r="AS4" s="90"/>
      <c r="AT4" s="90"/>
      <c r="AU4" s="90"/>
      <c r="AV4" s="90"/>
      <c r="AW4" s="90"/>
    </row>
    <row r="5" spans="2:68" s="103" customFormat="1" ht="16" customHeight="1" x14ac:dyDescent="0.25">
      <c r="B5" s="112"/>
      <c r="C5" s="90"/>
      <c r="D5" s="90"/>
      <c r="E5" s="90"/>
      <c r="F5" s="90"/>
      <c r="G5" s="113"/>
      <c r="H5" s="90"/>
      <c r="I5" s="90"/>
      <c r="J5" s="90"/>
      <c r="K5" s="90"/>
      <c r="L5" s="90"/>
      <c r="M5" s="90"/>
      <c r="N5" s="90"/>
      <c r="O5" s="90"/>
      <c r="P5" s="90"/>
      <c r="Q5" s="90"/>
      <c r="R5" s="90"/>
      <c r="S5" s="90"/>
      <c r="T5" s="90"/>
      <c r="U5" s="90"/>
      <c r="V5" s="90"/>
      <c r="W5" s="90"/>
      <c r="X5" s="90"/>
      <c r="Y5" s="90"/>
      <c r="Z5" s="90"/>
      <c r="AA5" s="90"/>
      <c r="AS5" s="90"/>
      <c r="AT5" s="90"/>
      <c r="AU5" s="90"/>
    </row>
    <row r="6" spans="2:68" s="93" customFormat="1" ht="62" customHeight="1" x14ac:dyDescent="0.25">
      <c r="B6" s="89"/>
      <c r="C6" s="90"/>
      <c r="D6" s="90"/>
      <c r="E6" s="90"/>
      <c r="F6" s="90"/>
      <c r="G6" s="91"/>
      <c r="H6" s="92"/>
      <c r="I6" s="92"/>
      <c r="K6" s="75"/>
      <c r="L6" s="94" t="s">
        <v>331</v>
      </c>
      <c r="M6" s="95"/>
      <c r="N6" s="96"/>
      <c r="O6" s="96"/>
      <c r="P6" s="94" t="s">
        <v>332</v>
      </c>
      <c r="Q6" s="97"/>
      <c r="S6" s="98" t="s">
        <v>330</v>
      </c>
      <c r="T6" s="72"/>
      <c r="U6" s="90"/>
      <c r="V6" s="90"/>
      <c r="W6" s="96"/>
      <c r="X6" s="96" t="s">
        <v>294</v>
      </c>
      <c r="Y6" s="90"/>
      <c r="Z6" s="90"/>
      <c r="AA6" s="90"/>
      <c r="AH6" s="98" t="s">
        <v>381</v>
      </c>
      <c r="AS6" s="90"/>
      <c r="AT6" s="90"/>
      <c r="AU6" s="90"/>
    </row>
    <row r="7" spans="2:68" s="103" customFormat="1" ht="19" customHeight="1" x14ac:dyDescent="0.2">
      <c r="B7" s="125" t="s">
        <v>162</v>
      </c>
      <c r="C7" s="99" t="s">
        <v>159</v>
      </c>
      <c r="D7" s="99" t="s">
        <v>159</v>
      </c>
      <c r="E7" s="99" t="s">
        <v>160</v>
      </c>
      <c r="F7" s="99" t="s">
        <v>160</v>
      </c>
      <c r="G7" s="99" t="s">
        <v>161</v>
      </c>
      <c r="H7" s="100">
        <v>42653</v>
      </c>
      <c r="I7" s="100">
        <f>H7+7</f>
        <v>42660</v>
      </c>
      <c r="J7" s="101">
        <f t="shared" ref="J7:AC7" si="0">I7+7</f>
        <v>42667</v>
      </c>
      <c r="K7" s="100">
        <f t="shared" si="0"/>
        <v>42674</v>
      </c>
      <c r="L7" s="101">
        <f t="shared" si="0"/>
        <v>42681</v>
      </c>
      <c r="M7" s="100">
        <f t="shared" si="0"/>
        <v>42688</v>
      </c>
      <c r="N7" s="100">
        <f t="shared" si="0"/>
        <v>42695</v>
      </c>
      <c r="O7" s="100">
        <f t="shared" si="0"/>
        <v>42702</v>
      </c>
      <c r="P7" s="100">
        <f t="shared" si="0"/>
        <v>42709</v>
      </c>
      <c r="Q7" s="100">
        <f t="shared" si="0"/>
        <v>42716</v>
      </c>
      <c r="R7" s="102">
        <f t="shared" si="0"/>
        <v>42723</v>
      </c>
      <c r="S7" s="102">
        <f t="shared" si="0"/>
        <v>42730</v>
      </c>
      <c r="T7" s="100">
        <f t="shared" si="0"/>
        <v>42737</v>
      </c>
      <c r="U7" s="100">
        <f t="shared" si="0"/>
        <v>42744</v>
      </c>
      <c r="V7" s="100">
        <f t="shared" si="0"/>
        <v>42751</v>
      </c>
      <c r="W7" s="100">
        <f t="shared" si="0"/>
        <v>42758</v>
      </c>
      <c r="X7" s="100">
        <f t="shared" si="0"/>
        <v>42765</v>
      </c>
      <c r="Y7" s="100">
        <f t="shared" si="0"/>
        <v>42772</v>
      </c>
      <c r="Z7" s="100">
        <f t="shared" si="0"/>
        <v>42779</v>
      </c>
      <c r="AA7" s="100">
        <f t="shared" si="0"/>
        <v>42786</v>
      </c>
      <c r="AB7" s="100">
        <f t="shared" si="0"/>
        <v>42793</v>
      </c>
      <c r="AC7" s="100">
        <f t="shared" si="0"/>
        <v>42800</v>
      </c>
      <c r="AD7" s="100">
        <f t="shared" ref="AD7:AF7" si="1">AC7+7</f>
        <v>42807</v>
      </c>
      <c r="AE7" s="100">
        <f t="shared" ref="AE7" si="2">AD7+7</f>
        <v>42814</v>
      </c>
      <c r="AF7" s="100">
        <f t="shared" si="1"/>
        <v>42821</v>
      </c>
      <c r="AG7" s="100">
        <f>AF7+7</f>
        <v>42828</v>
      </c>
      <c r="AH7" s="100">
        <f t="shared" ref="AH7" si="3">AG7+7</f>
        <v>42835</v>
      </c>
    </row>
    <row r="8" spans="2:68" s="103" customFormat="1" ht="19" customHeight="1" x14ac:dyDescent="0.25">
      <c r="B8" s="125"/>
      <c r="C8" s="99" t="s">
        <v>163</v>
      </c>
      <c r="D8" s="99" t="s">
        <v>164</v>
      </c>
      <c r="E8" s="99" t="s">
        <v>163</v>
      </c>
      <c r="F8" s="99" t="s">
        <v>164</v>
      </c>
      <c r="G8" s="99" t="s">
        <v>165</v>
      </c>
      <c r="H8" s="104">
        <v>1</v>
      </c>
      <c r="I8" s="104">
        <v>2</v>
      </c>
      <c r="J8" s="105">
        <v>3</v>
      </c>
      <c r="K8" s="106">
        <v>4</v>
      </c>
      <c r="L8" s="107">
        <v>5</v>
      </c>
      <c r="M8" s="104">
        <v>6</v>
      </c>
      <c r="N8" s="108">
        <v>7</v>
      </c>
      <c r="O8" s="104">
        <v>8</v>
      </c>
      <c r="P8" s="109">
        <v>9</v>
      </c>
      <c r="Q8" s="104">
        <v>10</v>
      </c>
      <c r="R8" s="104">
        <v>11</v>
      </c>
      <c r="S8" s="110">
        <v>12</v>
      </c>
      <c r="T8" s="104">
        <v>13</v>
      </c>
      <c r="U8" s="104">
        <v>14</v>
      </c>
      <c r="V8" s="104">
        <v>15</v>
      </c>
      <c r="W8" s="104">
        <v>16</v>
      </c>
      <c r="X8" s="104">
        <v>17</v>
      </c>
      <c r="Y8" s="104">
        <v>18</v>
      </c>
      <c r="Z8" s="104">
        <v>19</v>
      </c>
      <c r="AA8" s="104">
        <v>20</v>
      </c>
      <c r="AB8" s="104">
        <v>21</v>
      </c>
      <c r="AC8" s="104">
        <v>22</v>
      </c>
      <c r="AD8" s="104">
        <v>23</v>
      </c>
      <c r="AE8" s="104">
        <v>24</v>
      </c>
      <c r="AF8" s="111">
        <v>25</v>
      </c>
      <c r="AG8" s="111">
        <v>26</v>
      </c>
      <c r="AH8" s="110">
        <v>27</v>
      </c>
      <c r="AI8" s="111">
        <v>28</v>
      </c>
      <c r="AJ8" s="111">
        <v>29</v>
      </c>
      <c r="AK8" s="111">
        <v>30</v>
      </c>
      <c r="AL8" s="111">
        <v>31</v>
      </c>
      <c r="AM8" s="111">
        <v>32</v>
      </c>
      <c r="AN8" s="111">
        <v>33</v>
      </c>
      <c r="AO8" s="111">
        <v>34</v>
      </c>
      <c r="AP8" s="111">
        <v>35</v>
      </c>
      <c r="AQ8" s="111">
        <v>36</v>
      </c>
      <c r="AR8" s="111">
        <v>37</v>
      </c>
      <c r="AS8" s="111">
        <v>38</v>
      </c>
      <c r="AT8" s="111">
        <v>39</v>
      </c>
      <c r="AU8" s="111">
        <v>40</v>
      </c>
      <c r="AV8" s="111">
        <v>41</v>
      </c>
      <c r="AW8" s="111">
        <v>42</v>
      </c>
      <c r="AX8" s="111">
        <v>43</v>
      </c>
      <c r="AY8" s="111">
        <v>44</v>
      </c>
      <c r="AZ8" s="111">
        <v>45</v>
      </c>
      <c r="BA8" s="111">
        <v>46</v>
      </c>
      <c r="BB8" s="111">
        <v>47</v>
      </c>
      <c r="BC8" s="111">
        <v>48</v>
      </c>
      <c r="BD8" s="111">
        <v>49</v>
      </c>
      <c r="BE8" s="111">
        <v>50</v>
      </c>
      <c r="BF8" s="111">
        <v>51</v>
      </c>
      <c r="BG8" s="111">
        <v>52</v>
      </c>
      <c r="BH8" s="111">
        <v>53</v>
      </c>
      <c r="BI8" s="111">
        <v>54</v>
      </c>
      <c r="BJ8" s="111">
        <v>55</v>
      </c>
      <c r="BK8" s="111">
        <v>56</v>
      </c>
      <c r="BL8" s="111">
        <v>57</v>
      </c>
      <c r="BM8" s="111">
        <v>58</v>
      </c>
      <c r="BN8" s="111">
        <v>59</v>
      </c>
      <c r="BO8" s="111">
        <v>60</v>
      </c>
      <c r="BP8" s="90"/>
    </row>
    <row r="9" spans="2:68" ht="19" customHeight="1" x14ac:dyDescent="0.2">
      <c r="B9" s="78" t="s">
        <v>236</v>
      </c>
      <c r="C9" s="55">
        <v>1</v>
      </c>
      <c r="D9" s="55">
        <v>6</v>
      </c>
      <c r="E9" s="55">
        <v>1</v>
      </c>
      <c r="F9" s="55">
        <v>6</v>
      </c>
      <c r="G9" s="122">
        <v>0.3</v>
      </c>
      <c r="H9" s="56"/>
      <c r="I9" s="56"/>
      <c r="J9" s="74"/>
      <c r="K9" s="74"/>
      <c r="L9" s="68"/>
      <c r="M9" s="56"/>
      <c r="N9" s="73"/>
      <c r="O9" s="56"/>
      <c r="P9" s="68"/>
      <c r="Q9" s="56"/>
      <c r="R9" s="56"/>
      <c r="S9" s="76"/>
      <c r="T9" s="56"/>
      <c r="U9" s="56"/>
      <c r="V9" s="56"/>
      <c r="W9" s="56"/>
      <c r="X9" s="56"/>
      <c r="Y9" s="56"/>
      <c r="Z9" s="56"/>
      <c r="AA9" s="56"/>
      <c r="AB9" s="57"/>
      <c r="AC9" s="57"/>
      <c r="AH9" s="76"/>
    </row>
    <row r="10" spans="2:68" ht="19" customHeight="1" x14ac:dyDescent="0.2">
      <c r="B10" s="79" t="s">
        <v>267</v>
      </c>
      <c r="C10" s="55">
        <v>1</v>
      </c>
      <c r="D10" s="55">
        <v>2</v>
      </c>
      <c r="E10" s="55">
        <v>1</v>
      </c>
      <c r="F10" s="55">
        <v>6</v>
      </c>
      <c r="G10" s="122">
        <v>0.5</v>
      </c>
      <c r="H10" s="56"/>
      <c r="I10" s="56"/>
      <c r="J10" s="74"/>
      <c r="K10" s="74"/>
      <c r="L10" s="68"/>
      <c r="M10" s="56"/>
      <c r="N10" s="73"/>
      <c r="O10" s="56"/>
      <c r="P10" s="68"/>
      <c r="Q10" s="56"/>
      <c r="R10" s="56"/>
      <c r="S10" s="77"/>
      <c r="T10" s="56"/>
      <c r="U10" s="56"/>
      <c r="V10" s="56"/>
      <c r="W10" s="56"/>
      <c r="X10" s="56"/>
      <c r="Y10" s="56"/>
      <c r="Z10" s="56"/>
      <c r="AA10" s="56"/>
      <c r="AB10" s="57"/>
      <c r="AC10" s="57"/>
      <c r="AH10" s="77"/>
    </row>
    <row r="11" spans="2:68" ht="19" customHeight="1" x14ac:dyDescent="0.2">
      <c r="B11" s="81" t="s">
        <v>243</v>
      </c>
      <c r="C11" s="55">
        <v>1</v>
      </c>
      <c r="D11" s="55">
        <v>2</v>
      </c>
      <c r="E11" s="55">
        <v>1</v>
      </c>
      <c r="F11" s="55">
        <v>4</v>
      </c>
      <c r="G11" s="122">
        <v>1</v>
      </c>
      <c r="H11" s="56"/>
      <c r="I11" s="56"/>
      <c r="J11" s="74"/>
      <c r="K11" s="74"/>
      <c r="L11" s="68"/>
      <c r="M11" s="56"/>
      <c r="N11" s="73"/>
      <c r="O11" s="56"/>
      <c r="P11" s="68"/>
      <c r="Q11" s="56"/>
      <c r="R11" s="56"/>
      <c r="S11" s="77"/>
      <c r="T11" s="56"/>
      <c r="U11" s="56"/>
      <c r="V11" s="56"/>
      <c r="W11" s="56"/>
      <c r="X11" s="56"/>
      <c r="Y11" s="56"/>
      <c r="Z11" s="56"/>
      <c r="AA11" s="56"/>
      <c r="AB11" s="57"/>
      <c r="AC11" s="57"/>
      <c r="AH11" s="77"/>
    </row>
    <row r="12" spans="2:68" ht="19" customHeight="1" x14ac:dyDescent="0.2">
      <c r="B12" s="81" t="s">
        <v>220</v>
      </c>
      <c r="C12" s="55">
        <v>2</v>
      </c>
      <c r="D12" s="55">
        <v>1</v>
      </c>
      <c r="E12" s="55">
        <v>2</v>
      </c>
      <c r="F12" s="55">
        <v>5</v>
      </c>
      <c r="G12" s="122">
        <v>1</v>
      </c>
      <c r="H12" s="56"/>
      <c r="I12" s="56"/>
      <c r="J12" s="74"/>
      <c r="K12" s="74"/>
      <c r="L12" s="68"/>
      <c r="M12" s="56"/>
      <c r="N12" s="73"/>
      <c r="O12" s="56"/>
      <c r="P12" s="68"/>
      <c r="Q12" s="56"/>
      <c r="R12" s="56"/>
      <c r="S12" s="77"/>
      <c r="T12" s="56"/>
      <c r="U12" s="56"/>
      <c r="V12" s="56"/>
      <c r="W12" s="56"/>
      <c r="X12" s="56"/>
      <c r="Y12" s="56"/>
      <c r="Z12" s="56"/>
      <c r="AA12" s="56"/>
      <c r="AB12" s="57"/>
      <c r="AC12" s="57"/>
      <c r="AH12" s="77"/>
    </row>
    <row r="13" spans="2:68" ht="19" customHeight="1" x14ac:dyDescent="0.2">
      <c r="B13" s="81" t="s">
        <v>378</v>
      </c>
      <c r="C13" s="55">
        <v>2</v>
      </c>
      <c r="D13" s="55">
        <v>1</v>
      </c>
      <c r="E13" s="55">
        <v>3</v>
      </c>
      <c r="F13" s="55">
        <v>1</v>
      </c>
      <c r="G13" s="122">
        <v>1</v>
      </c>
      <c r="H13" s="56"/>
      <c r="I13" s="56"/>
      <c r="J13" s="74"/>
      <c r="K13" s="56"/>
      <c r="L13" s="68"/>
      <c r="M13" s="56"/>
      <c r="N13" s="73"/>
      <c r="O13" s="56"/>
      <c r="P13" s="68"/>
      <c r="Q13" s="56"/>
      <c r="R13" s="56"/>
      <c r="S13" s="77"/>
      <c r="T13" s="56"/>
      <c r="U13" s="56"/>
      <c r="V13" s="56"/>
      <c r="W13" s="56"/>
      <c r="X13" s="56"/>
      <c r="Y13" s="56"/>
      <c r="Z13" s="56"/>
      <c r="AA13" s="56"/>
      <c r="AB13" s="57"/>
      <c r="AC13" s="57"/>
      <c r="AH13" s="77"/>
    </row>
    <row r="14" spans="2:68" ht="19" customHeight="1" x14ac:dyDescent="0.2">
      <c r="B14" s="81" t="s">
        <v>296</v>
      </c>
      <c r="C14" s="55">
        <v>3</v>
      </c>
      <c r="D14" s="55">
        <v>1</v>
      </c>
      <c r="E14" s="55">
        <v>6</v>
      </c>
      <c r="F14" s="55">
        <v>1</v>
      </c>
      <c r="G14" s="122">
        <v>1</v>
      </c>
      <c r="H14" s="56"/>
      <c r="I14" s="56"/>
      <c r="J14" s="74"/>
      <c r="K14" s="56"/>
      <c r="L14" s="68"/>
      <c r="M14" s="56"/>
      <c r="N14" s="73"/>
      <c r="O14" s="56"/>
      <c r="P14" s="68"/>
      <c r="Q14" s="56"/>
      <c r="R14" s="56"/>
      <c r="S14" s="77"/>
      <c r="T14" s="56"/>
      <c r="U14" s="56"/>
      <c r="V14" s="56"/>
      <c r="W14" s="56"/>
      <c r="X14" s="56"/>
      <c r="Y14" s="56"/>
      <c r="Z14" s="56"/>
      <c r="AA14" s="56"/>
      <c r="AB14" s="57"/>
      <c r="AC14" s="57"/>
      <c r="AH14" s="77"/>
    </row>
    <row r="15" spans="2:68" ht="19" customHeight="1" x14ac:dyDescent="0.2">
      <c r="B15" s="81" t="s">
        <v>298</v>
      </c>
      <c r="C15" s="55">
        <v>3</v>
      </c>
      <c r="D15" s="55">
        <v>1</v>
      </c>
      <c r="E15" s="55">
        <v>6</v>
      </c>
      <c r="F15" s="55">
        <v>1</v>
      </c>
      <c r="G15" s="122">
        <v>1</v>
      </c>
      <c r="H15" s="56"/>
      <c r="I15" s="56"/>
      <c r="J15" s="74"/>
      <c r="K15" s="56"/>
      <c r="L15" s="68"/>
      <c r="M15" s="56"/>
      <c r="N15" s="73"/>
      <c r="O15" s="56"/>
      <c r="P15" s="68"/>
      <c r="Q15" s="56"/>
      <c r="R15" s="56"/>
      <c r="S15" s="77"/>
      <c r="T15" s="56"/>
      <c r="U15" s="56"/>
      <c r="V15" s="56"/>
      <c r="W15" s="56"/>
      <c r="X15" s="56"/>
      <c r="Y15" s="56"/>
      <c r="Z15" s="56"/>
      <c r="AA15" s="56"/>
      <c r="AB15" s="57"/>
      <c r="AC15" s="57"/>
      <c r="AH15" s="77"/>
    </row>
    <row r="16" spans="2:68" ht="19" customHeight="1" x14ac:dyDescent="0.2">
      <c r="B16" s="79" t="s">
        <v>247</v>
      </c>
      <c r="C16" s="55">
        <v>2</v>
      </c>
      <c r="D16" s="55">
        <v>4</v>
      </c>
      <c r="E16" s="55">
        <v>2</v>
      </c>
      <c r="F16" s="55">
        <v>15</v>
      </c>
      <c r="G16" s="122">
        <v>0.8</v>
      </c>
      <c r="H16" s="56"/>
      <c r="I16" s="56"/>
      <c r="J16" s="74"/>
      <c r="K16" s="74"/>
      <c r="L16" s="68"/>
      <c r="M16" s="56"/>
      <c r="N16" s="73"/>
      <c r="O16" s="56"/>
      <c r="P16" s="68"/>
      <c r="Q16" s="56"/>
      <c r="R16" s="56"/>
      <c r="S16" s="77"/>
      <c r="T16" s="56"/>
      <c r="U16" s="56"/>
      <c r="V16" s="56"/>
      <c r="W16" s="56"/>
      <c r="X16" s="56"/>
      <c r="Y16" s="56"/>
      <c r="Z16" s="56"/>
      <c r="AA16" s="56"/>
      <c r="AB16" s="57"/>
      <c r="AC16" s="57"/>
      <c r="AH16" s="77"/>
    </row>
    <row r="17" spans="2:34" ht="19" customHeight="1" x14ac:dyDescent="0.2">
      <c r="B17" s="81" t="s">
        <v>242</v>
      </c>
      <c r="C17" s="55">
        <v>2</v>
      </c>
      <c r="D17" s="55">
        <v>3</v>
      </c>
      <c r="E17" s="55">
        <v>3</v>
      </c>
      <c r="F17" s="55">
        <v>14</v>
      </c>
      <c r="G17" s="122">
        <v>0.5</v>
      </c>
      <c r="H17" s="56"/>
      <c r="I17" s="56"/>
      <c r="J17" s="74"/>
      <c r="K17" s="74"/>
      <c r="L17" s="68"/>
      <c r="M17" s="56"/>
      <c r="N17" s="73"/>
      <c r="O17" s="56"/>
      <c r="P17" s="68"/>
      <c r="Q17" s="56"/>
      <c r="R17" s="56"/>
      <c r="S17" s="77"/>
      <c r="T17" s="56"/>
      <c r="U17" s="56"/>
      <c r="V17" s="56"/>
      <c r="W17" s="56"/>
      <c r="X17" s="56"/>
      <c r="Y17" s="56"/>
      <c r="Z17" s="56"/>
      <c r="AA17" s="56"/>
      <c r="AB17" s="57"/>
      <c r="AC17" s="57"/>
      <c r="AH17" s="77"/>
    </row>
    <row r="18" spans="2:34" ht="19" customHeight="1" x14ac:dyDescent="0.2">
      <c r="B18" s="81" t="s">
        <v>300</v>
      </c>
      <c r="C18" s="55">
        <v>2</v>
      </c>
      <c r="D18" s="55">
        <v>3</v>
      </c>
      <c r="E18" s="55">
        <v>2</v>
      </c>
      <c r="F18" s="55">
        <v>10</v>
      </c>
      <c r="G18" s="122">
        <v>1</v>
      </c>
      <c r="H18" s="56"/>
      <c r="I18" s="56"/>
      <c r="J18" s="74"/>
      <c r="K18" s="74"/>
      <c r="L18" s="68"/>
      <c r="M18" s="56"/>
      <c r="N18" s="73"/>
      <c r="O18" s="56"/>
      <c r="P18" s="68"/>
      <c r="Q18" s="56"/>
      <c r="R18" s="56"/>
      <c r="S18" s="77"/>
      <c r="T18" s="56"/>
      <c r="U18" s="56"/>
      <c r="V18" s="56"/>
      <c r="W18" s="56"/>
      <c r="X18" s="56"/>
      <c r="Y18" s="56"/>
      <c r="Z18" s="56"/>
      <c r="AA18" s="56"/>
      <c r="AB18" s="57"/>
      <c r="AC18" s="57"/>
      <c r="AH18" s="77"/>
    </row>
    <row r="19" spans="2:34" ht="19" customHeight="1" x14ac:dyDescent="0.2">
      <c r="B19" s="81" t="s">
        <v>191</v>
      </c>
      <c r="C19" s="55">
        <v>3</v>
      </c>
      <c r="D19" s="55">
        <v>2</v>
      </c>
      <c r="E19" s="55">
        <v>3</v>
      </c>
      <c r="F19" s="55">
        <v>9</v>
      </c>
      <c r="G19" s="122">
        <v>0.5</v>
      </c>
      <c r="H19" s="56"/>
      <c r="I19" s="56"/>
      <c r="J19" s="74"/>
      <c r="K19" s="74"/>
      <c r="L19" s="68"/>
      <c r="M19" s="56"/>
      <c r="N19" s="73"/>
      <c r="O19" s="56"/>
      <c r="P19" s="68"/>
      <c r="Q19" s="56"/>
      <c r="R19" s="56"/>
      <c r="S19" s="77"/>
      <c r="T19" s="56"/>
      <c r="U19" s="56"/>
      <c r="V19" s="56"/>
      <c r="W19" s="56"/>
      <c r="X19" s="56"/>
      <c r="Y19" s="56"/>
      <c r="Z19" s="56"/>
      <c r="AA19" s="56"/>
      <c r="AB19" s="57"/>
      <c r="AC19" s="57"/>
      <c r="AH19" s="77"/>
    </row>
    <row r="20" spans="2:34" ht="19" customHeight="1" x14ac:dyDescent="0.2">
      <c r="B20" s="88" t="s">
        <v>244</v>
      </c>
      <c r="C20" s="55">
        <v>3</v>
      </c>
      <c r="D20" s="55">
        <v>1</v>
      </c>
      <c r="E20" s="55">
        <v>3</v>
      </c>
      <c r="F20" s="55">
        <v>3</v>
      </c>
      <c r="G20" s="122">
        <v>0.5</v>
      </c>
      <c r="H20" s="56"/>
      <c r="I20" s="56"/>
      <c r="J20" s="74"/>
      <c r="K20" s="74"/>
      <c r="L20" s="68"/>
      <c r="M20" s="56"/>
      <c r="N20" s="73"/>
      <c r="O20" s="56"/>
      <c r="P20" s="68"/>
      <c r="Q20" s="56"/>
      <c r="R20" s="56"/>
      <c r="S20" s="77"/>
      <c r="T20" s="56"/>
      <c r="U20" s="56"/>
      <c r="V20" s="56"/>
      <c r="W20" s="56"/>
      <c r="X20" s="56"/>
      <c r="Y20" s="56"/>
      <c r="Z20" s="56"/>
      <c r="AA20" s="56"/>
      <c r="AB20" s="57"/>
      <c r="AC20" s="57"/>
      <c r="AH20" s="77"/>
    </row>
    <row r="21" spans="2:34" ht="19" customHeight="1" x14ac:dyDescent="0.2">
      <c r="B21" s="88" t="s">
        <v>245</v>
      </c>
      <c r="C21" s="55">
        <v>4</v>
      </c>
      <c r="D21" s="55">
        <v>1</v>
      </c>
      <c r="E21" s="55">
        <v>3</v>
      </c>
      <c r="F21" s="55">
        <v>4</v>
      </c>
      <c r="G21" s="122">
        <v>0.5</v>
      </c>
      <c r="H21" s="56"/>
      <c r="I21" s="56"/>
      <c r="J21" s="74"/>
      <c r="K21" s="74"/>
      <c r="L21" s="68"/>
      <c r="M21" s="56"/>
      <c r="N21" s="73"/>
      <c r="O21" s="56"/>
      <c r="P21" s="68"/>
      <c r="Q21" s="56"/>
      <c r="R21" s="56"/>
      <c r="S21" s="77"/>
      <c r="T21" s="56"/>
      <c r="U21" s="56"/>
      <c r="V21" s="56"/>
      <c r="W21" s="56"/>
      <c r="X21" s="56"/>
      <c r="Y21" s="56"/>
      <c r="Z21" s="56"/>
      <c r="AA21" s="56"/>
      <c r="AB21" s="57"/>
      <c r="AC21" s="57"/>
      <c r="AH21" s="77"/>
    </row>
    <row r="22" spans="2:34" ht="19" customHeight="1" x14ac:dyDescent="0.2">
      <c r="B22" s="87" t="s">
        <v>301</v>
      </c>
      <c r="C22" s="55">
        <v>4</v>
      </c>
      <c r="D22" s="55">
        <v>3</v>
      </c>
      <c r="E22" s="55">
        <v>5</v>
      </c>
      <c r="F22" s="55">
        <v>8</v>
      </c>
      <c r="G22" s="122">
        <v>0.5</v>
      </c>
      <c r="H22" s="56"/>
      <c r="I22" s="56"/>
      <c r="J22" s="74"/>
      <c r="K22" s="74"/>
      <c r="L22" s="68"/>
      <c r="M22" s="56"/>
      <c r="N22" s="73"/>
      <c r="O22" s="56"/>
      <c r="P22" s="68"/>
      <c r="Q22" s="56"/>
      <c r="R22" s="56"/>
      <c r="S22" s="77"/>
      <c r="T22" s="56"/>
      <c r="U22" s="56"/>
      <c r="V22" s="56"/>
      <c r="W22" s="56"/>
      <c r="X22" s="56"/>
      <c r="Y22" s="56"/>
      <c r="Z22" s="56"/>
      <c r="AA22" s="56"/>
      <c r="AB22" s="57"/>
      <c r="AC22" s="57"/>
      <c r="AH22" s="77"/>
    </row>
    <row r="23" spans="2:34" ht="19" customHeight="1" x14ac:dyDescent="0.2">
      <c r="B23" s="81" t="s">
        <v>302</v>
      </c>
      <c r="C23" s="55">
        <v>4</v>
      </c>
      <c r="D23" s="55">
        <v>1</v>
      </c>
      <c r="E23" s="55">
        <v>4</v>
      </c>
      <c r="F23" s="55">
        <v>8</v>
      </c>
      <c r="G23" s="122">
        <v>0.6</v>
      </c>
      <c r="H23" s="56"/>
      <c r="I23" s="56"/>
      <c r="J23" s="74"/>
      <c r="K23" s="74"/>
      <c r="L23" s="68"/>
      <c r="M23" s="56"/>
      <c r="N23" s="73"/>
      <c r="O23" s="56"/>
      <c r="P23" s="68"/>
      <c r="Q23" s="56"/>
      <c r="R23" s="56"/>
      <c r="S23" s="77"/>
      <c r="T23" s="56"/>
      <c r="U23" s="56"/>
      <c r="V23" s="56"/>
      <c r="W23" s="56"/>
      <c r="X23" s="56"/>
      <c r="Y23" s="56"/>
      <c r="Z23" s="56"/>
      <c r="AA23" s="56"/>
      <c r="AB23" s="57"/>
      <c r="AC23" s="57"/>
      <c r="AH23" s="77"/>
    </row>
    <row r="24" spans="2:34" ht="19" customHeight="1" x14ac:dyDescent="0.2">
      <c r="B24" s="79" t="s">
        <v>257</v>
      </c>
      <c r="C24" s="55">
        <v>8</v>
      </c>
      <c r="D24" s="55">
        <v>2</v>
      </c>
      <c r="E24" s="55">
        <v>8</v>
      </c>
      <c r="F24" s="55">
        <v>4</v>
      </c>
      <c r="G24" s="122">
        <v>0.5</v>
      </c>
      <c r="H24" s="56"/>
      <c r="I24" s="56"/>
      <c r="J24" s="74"/>
      <c r="K24" s="74"/>
      <c r="L24" s="68"/>
      <c r="M24" s="56"/>
      <c r="N24" s="73"/>
      <c r="O24" s="56"/>
      <c r="P24" s="68"/>
      <c r="Q24" s="56"/>
      <c r="R24" s="56"/>
      <c r="S24" s="77"/>
      <c r="T24" s="56"/>
      <c r="U24" s="56"/>
      <c r="V24" s="56"/>
      <c r="W24" s="56"/>
      <c r="X24" s="56"/>
      <c r="Y24" s="56"/>
      <c r="Z24" s="56"/>
      <c r="AA24" s="56"/>
      <c r="AB24" s="57"/>
      <c r="AC24" s="57"/>
      <c r="AH24" s="77"/>
    </row>
    <row r="25" spans="2:34" ht="19" customHeight="1" x14ac:dyDescent="0.2">
      <c r="B25" s="81" t="s">
        <v>297</v>
      </c>
      <c r="C25" s="55">
        <v>8</v>
      </c>
      <c r="D25" s="55">
        <v>2</v>
      </c>
      <c r="E25" s="55">
        <v>8</v>
      </c>
      <c r="F25" s="55">
        <v>4</v>
      </c>
      <c r="G25" s="122">
        <v>0.25</v>
      </c>
      <c r="H25" s="56"/>
      <c r="I25" s="56"/>
      <c r="J25" s="74"/>
      <c r="K25" s="74"/>
      <c r="L25" s="68"/>
      <c r="M25" s="56"/>
      <c r="N25" s="73"/>
      <c r="O25" s="56"/>
      <c r="P25" s="68"/>
      <c r="Q25" s="56"/>
      <c r="R25" s="56"/>
      <c r="S25" s="77"/>
      <c r="T25" s="56"/>
      <c r="U25" s="56"/>
      <c r="V25" s="56"/>
      <c r="W25" s="56"/>
      <c r="X25" s="56"/>
      <c r="Y25" s="56"/>
      <c r="Z25" s="56"/>
      <c r="AA25" s="56"/>
      <c r="AB25" s="57"/>
      <c r="AC25" s="57"/>
      <c r="AH25" s="77"/>
    </row>
    <row r="26" spans="2:34" ht="19" customHeight="1" x14ac:dyDescent="0.2">
      <c r="B26" s="81" t="s">
        <v>246</v>
      </c>
      <c r="C26" s="55">
        <v>8</v>
      </c>
      <c r="D26" s="55">
        <v>1</v>
      </c>
      <c r="E26" s="55">
        <v>8</v>
      </c>
      <c r="F26" s="55">
        <v>9</v>
      </c>
      <c r="G26" s="122">
        <v>0.25</v>
      </c>
      <c r="H26" s="56"/>
      <c r="I26" s="56"/>
      <c r="J26" s="74"/>
      <c r="K26" s="56"/>
      <c r="L26" s="68"/>
      <c r="M26" s="56"/>
      <c r="N26" s="73"/>
      <c r="O26" s="56"/>
      <c r="P26" s="68"/>
      <c r="Q26" s="56"/>
      <c r="R26" s="56"/>
      <c r="S26" s="77"/>
      <c r="T26" s="56"/>
      <c r="U26" s="56"/>
      <c r="V26" s="56"/>
      <c r="W26" s="56"/>
      <c r="X26" s="56"/>
      <c r="Y26" s="56"/>
      <c r="Z26" s="56"/>
      <c r="AA26" s="56"/>
      <c r="AB26" s="57"/>
      <c r="AC26" s="57"/>
      <c r="AH26" s="77"/>
    </row>
    <row r="27" spans="2:34" ht="19" customHeight="1" x14ac:dyDescent="0.2">
      <c r="B27" s="81" t="s">
        <v>241</v>
      </c>
      <c r="C27" s="55">
        <v>8</v>
      </c>
      <c r="D27" s="55">
        <v>1</v>
      </c>
      <c r="E27" s="55"/>
      <c r="F27" s="55"/>
      <c r="G27" s="122">
        <v>0</v>
      </c>
      <c r="H27" s="56"/>
      <c r="I27" s="56"/>
      <c r="J27" s="74"/>
      <c r="K27" s="56"/>
      <c r="L27" s="68"/>
      <c r="M27" s="56"/>
      <c r="N27" s="73"/>
      <c r="O27" s="56"/>
      <c r="P27" s="68"/>
      <c r="Q27" s="56"/>
      <c r="R27" s="56"/>
      <c r="S27" s="77"/>
      <c r="T27" s="56"/>
      <c r="U27" s="56"/>
      <c r="V27" s="56"/>
      <c r="W27" s="56"/>
      <c r="X27" s="56"/>
      <c r="Y27" s="56"/>
      <c r="Z27" s="56"/>
      <c r="AA27" s="56"/>
      <c r="AB27" s="57"/>
      <c r="AC27" s="57"/>
      <c r="AH27" s="77"/>
    </row>
    <row r="28" spans="2:34" ht="19" customHeight="1" x14ac:dyDescent="0.2">
      <c r="B28" s="81" t="s">
        <v>290</v>
      </c>
      <c r="C28" s="55">
        <v>6</v>
      </c>
      <c r="D28" s="55">
        <v>2</v>
      </c>
      <c r="E28" s="55">
        <v>6</v>
      </c>
      <c r="F28" s="55">
        <v>11</v>
      </c>
      <c r="G28" s="122">
        <v>0.8</v>
      </c>
      <c r="H28" s="56"/>
      <c r="I28" s="56"/>
      <c r="J28" s="74"/>
      <c r="K28" s="56"/>
      <c r="L28" s="68"/>
      <c r="M28" s="56"/>
      <c r="N28" s="73"/>
      <c r="O28" s="56"/>
      <c r="P28" s="68"/>
      <c r="Q28" s="56"/>
      <c r="R28" s="56"/>
      <c r="S28" s="77"/>
      <c r="T28" s="56"/>
      <c r="U28" s="56"/>
      <c r="V28" s="56"/>
      <c r="W28" s="56"/>
      <c r="X28" s="56"/>
      <c r="Y28" s="56"/>
      <c r="Z28" s="56"/>
      <c r="AA28" s="56"/>
      <c r="AB28" s="57"/>
      <c r="AC28" s="57"/>
      <c r="AH28" s="77"/>
    </row>
    <row r="29" spans="2:34" ht="19" customHeight="1" x14ac:dyDescent="0.2">
      <c r="B29" s="80"/>
      <c r="C29" s="55"/>
      <c r="D29" s="55"/>
      <c r="E29" s="55"/>
      <c r="F29" s="55"/>
      <c r="G29" s="122"/>
      <c r="H29" s="56"/>
      <c r="I29" s="56"/>
      <c r="J29" s="74"/>
      <c r="K29" s="56"/>
      <c r="L29" s="68"/>
      <c r="M29" s="56"/>
      <c r="N29" s="73"/>
      <c r="O29" s="56"/>
      <c r="P29" s="68"/>
      <c r="Q29" s="56"/>
      <c r="R29" s="56"/>
      <c r="S29" s="77"/>
      <c r="T29" s="56"/>
      <c r="U29" s="56"/>
      <c r="V29" s="56"/>
      <c r="W29" s="56"/>
      <c r="X29" s="56"/>
      <c r="Y29" s="56"/>
      <c r="Z29" s="56"/>
      <c r="AA29" s="56"/>
      <c r="AB29" s="57"/>
      <c r="AC29" s="57"/>
      <c r="AH29" s="77"/>
    </row>
    <row r="30" spans="2:34" ht="19" customHeight="1" x14ac:dyDescent="0.2">
      <c r="B30" s="82" t="s">
        <v>237</v>
      </c>
      <c r="C30" s="55">
        <v>7</v>
      </c>
      <c r="D30" s="55">
        <v>14</v>
      </c>
      <c r="E30" s="55">
        <v>7</v>
      </c>
      <c r="F30" s="55">
        <v>10</v>
      </c>
      <c r="G30" s="122">
        <v>0.1</v>
      </c>
      <c r="H30" s="56"/>
      <c r="I30" s="56"/>
      <c r="J30" s="74"/>
      <c r="K30" s="56"/>
      <c r="L30" s="68"/>
      <c r="M30" s="56"/>
      <c r="N30" s="73"/>
      <c r="O30" s="56"/>
      <c r="P30" s="68"/>
      <c r="Q30" s="56"/>
      <c r="R30" s="56"/>
      <c r="S30" s="77"/>
      <c r="T30" s="56"/>
      <c r="U30" s="56"/>
      <c r="V30" s="56"/>
      <c r="W30" s="56"/>
      <c r="X30" s="56"/>
      <c r="Y30" s="56"/>
      <c r="Z30" s="56"/>
      <c r="AA30" s="56"/>
      <c r="AB30" s="57"/>
      <c r="AC30" s="57"/>
      <c r="AH30" s="77"/>
    </row>
    <row r="31" spans="2:34" ht="19" customHeight="1" x14ac:dyDescent="0.2">
      <c r="B31" s="83" t="s">
        <v>258</v>
      </c>
      <c r="C31" s="55">
        <v>7</v>
      </c>
      <c r="D31" s="55">
        <v>14</v>
      </c>
      <c r="E31" s="55">
        <v>7</v>
      </c>
      <c r="F31" s="55">
        <v>10</v>
      </c>
      <c r="G31" s="122">
        <v>0.2</v>
      </c>
      <c r="H31" s="56"/>
      <c r="I31" s="56"/>
      <c r="J31" s="74"/>
      <c r="K31" s="56"/>
      <c r="L31" s="68"/>
      <c r="M31" s="56"/>
      <c r="N31" s="73"/>
      <c r="O31" s="56"/>
      <c r="P31" s="68"/>
      <c r="Q31" s="56"/>
      <c r="R31" s="56"/>
      <c r="S31" s="77"/>
      <c r="T31" s="56"/>
      <c r="U31" s="56"/>
      <c r="V31" s="56"/>
      <c r="W31" s="56"/>
      <c r="X31" s="56"/>
      <c r="Y31" s="56"/>
      <c r="Z31" s="56"/>
      <c r="AA31" s="56"/>
      <c r="AB31" s="57"/>
      <c r="AC31" s="57"/>
      <c r="AH31" s="77"/>
    </row>
    <row r="32" spans="2:34" ht="19" customHeight="1" x14ac:dyDescent="0.2">
      <c r="B32" s="81" t="s">
        <v>253</v>
      </c>
      <c r="C32" s="55">
        <v>7</v>
      </c>
      <c r="D32" s="55">
        <v>1</v>
      </c>
      <c r="E32" s="55">
        <v>7</v>
      </c>
      <c r="F32" s="55">
        <v>1</v>
      </c>
      <c r="G32" s="122">
        <v>1</v>
      </c>
      <c r="H32" s="56"/>
      <c r="I32" s="56"/>
      <c r="J32" s="74"/>
      <c r="K32" s="56"/>
      <c r="L32" s="68"/>
      <c r="M32" s="56"/>
      <c r="N32" s="73"/>
      <c r="O32" s="56"/>
      <c r="P32" s="68"/>
      <c r="Q32" s="56"/>
      <c r="R32" s="56"/>
      <c r="S32" s="77"/>
      <c r="T32" s="56"/>
      <c r="U32" s="56"/>
      <c r="V32" s="56"/>
      <c r="W32" s="56"/>
      <c r="X32" s="56"/>
      <c r="Y32" s="56"/>
      <c r="Z32" s="56"/>
      <c r="AA32" s="56"/>
      <c r="AB32" s="57"/>
      <c r="AC32" s="57"/>
      <c r="AH32" s="77"/>
    </row>
    <row r="33" spans="2:34" ht="19" customHeight="1" x14ac:dyDescent="0.2">
      <c r="B33" s="88" t="s">
        <v>248</v>
      </c>
      <c r="C33" s="55">
        <v>7</v>
      </c>
      <c r="D33" s="55">
        <v>2</v>
      </c>
      <c r="E33" s="55">
        <v>7</v>
      </c>
      <c r="F33" s="55">
        <v>2</v>
      </c>
      <c r="G33" s="122">
        <v>0.25</v>
      </c>
      <c r="H33" s="56"/>
      <c r="I33" s="56"/>
      <c r="J33" s="74"/>
      <c r="K33" s="56"/>
      <c r="L33" s="68"/>
      <c r="M33" s="56"/>
      <c r="N33" s="73"/>
      <c r="O33" s="56"/>
      <c r="P33" s="68"/>
      <c r="Q33" s="56"/>
      <c r="R33" s="56"/>
      <c r="S33" s="77"/>
      <c r="T33" s="56"/>
      <c r="U33" s="56"/>
      <c r="V33" s="56"/>
      <c r="W33" s="56"/>
      <c r="X33" s="56"/>
      <c r="Y33" s="56"/>
      <c r="Z33" s="56"/>
      <c r="AA33" s="56"/>
      <c r="AB33" s="57"/>
      <c r="AC33" s="57"/>
      <c r="AH33" s="77"/>
    </row>
    <row r="34" spans="2:34" ht="19" customHeight="1" x14ac:dyDescent="0.2">
      <c r="B34" s="88" t="s">
        <v>249</v>
      </c>
      <c r="C34" s="55">
        <v>8</v>
      </c>
      <c r="D34" s="55">
        <v>1</v>
      </c>
      <c r="E34" s="55">
        <v>13</v>
      </c>
      <c r="F34" s="55">
        <v>2</v>
      </c>
      <c r="G34" s="122">
        <v>0.25</v>
      </c>
      <c r="H34" s="56"/>
      <c r="I34" s="56"/>
      <c r="J34" s="74"/>
      <c r="K34" s="56"/>
      <c r="L34" s="68"/>
      <c r="M34" s="56"/>
      <c r="N34" s="73"/>
      <c r="O34" s="56"/>
      <c r="P34" s="68"/>
      <c r="Q34" s="56"/>
      <c r="R34" s="56"/>
      <c r="S34" s="77"/>
      <c r="T34" s="56"/>
      <c r="U34" s="56"/>
      <c r="V34" s="56"/>
      <c r="W34" s="56"/>
      <c r="X34" s="56"/>
      <c r="Y34" s="56"/>
      <c r="Z34" s="56"/>
      <c r="AA34" s="56"/>
      <c r="AB34" s="57"/>
      <c r="AC34" s="57"/>
      <c r="AH34" s="77"/>
    </row>
    <row r="35" spans="2:34" ht="19" customHeight="1" x14ac:dyDescent="0.2">
      <c r="B35" s="81" t="s">
        <v>333</v>
      </c>
      <c r="C35" s="55">
        <v>9</v>
      </c>
      <c r="D35" s="55">
        <v>4</v>
      </c>
      <c r="E35" s="55">
        <v>9</v>
      </c>
      <c r="F35" s="55">
        <v>8</v>
      </c>
      <c r="G35" s="122">
        <v>0.2</v>
      </c>
      <c r="H35" s="56"/>
      <c r="I35" s="56"/>
      <c r="J35" s="74"/>
      <c r="K35" s="56"/>
      <c r="L35" s="68"/>
      <c r="M35" s="56"/>
      <c r="N35" s="73"/>
      <c r="O35" s="56"/>
      <c r="P35" s="68"/>
      <c r="Q35" s="56"/>
      <c r="R35" s="56"/>
      <c r="S35" s="77"/>
      <c r="T35" s="56"/>
      <c r="U35" s="56"/>
      <c r="V35" s="56"/>
      <c r="W35" s="56"/>
      <c r="X35" s="56"/>
      <c r="Y35" s="56"/>
      <c r="Z35" s="56"/>
      <c r="AA35" s="56"/>
      <c r="AB35" s="57"/>
      <c r="AC35" s="57"/>
      <c r="AH35" s="77"/>
    </row>
    <row r="36" spans="2:34" ht="19" customHeight="1" x14ac:dyDescent="0.2">
      <c r="B36" s="88" t="s">
        <v>334</v>
      </c>
      <c r="C36" s="55">
        <v>13</v>
      </c>
      <c r="D36" s="55">
        <v>2</v>
      </c>
      <c r="E36" s="55">
        <v>9</v>
      </c>
      <c r="F36" s="55">
        <v>4</v>
      </c>
      <c r="G36" s="122">
        <v>0</v>
      </c>
      <c r="H36" s="56"/>
      <c r="I36" s="56"/>
      <c r="J36" s="74"/>
      <c r="K36" s="56"/>
      <c r="L36" s="68"/>
      <c r="M36" s="56"/>
      <c r="N36" s="73"/>
      <c r="O36" s="56"/>
      <c r="P36" s="68"/>
      <c r="Q36" s="56"/>
      <c r="R36" s="56"/>
      <c r="S36" s="77"/>
      <c r="T36" s="56"/>
      <c r="U36" s="56"/>
      <c r="V36" s="56"/>
      <c r="W36" s="56"/>
      <c r="X36" s="56"/>
      <c r="Y36" s="56"/>
      <c r="Z36" s="56"/>
      <c r="AA36" s="56"/>
      <c r="AB36" s="57"/>
      <c r="AC36" s="57"/>
      <c r="AH36" s="77"/>
    </row>
    <row r="37" spans="2:34" ht="19" customHeight="1" x14ac:dyDescent="0.2">
      <c r="B37" s="88" t="s">
        <v>335</v>
      </c>
      <c r="C37" s="55">
        <v>14</v>
      </c>
      <c r="D37" s="55">
        <v>2</v>
      </c>
      <c r="E37" s="55">
        <v>9</v>
      </c>
      <c r="F37" s="55">
        <v>8</v>
      </c>
      <c r="G37" s="122">
        <v>0.5</v>
      </c>
      <c r="H37" s="56"/>
      <c r="I37" s="56"/>
      <c r="J37" s="74"/>
      <c r="K37" s="56"/>
      <c r="L37" s="68"/>
      <c r="M37" s="56"/>
      <c r="N37" s="73"/>
      <c r="O37" s="56"/>
      <c r="P37" s="68"/>
      <c r="Q37" s="56"/>
      <c r="R37" s="56"/>
      <c r="S37" s="77"/>
      <c r="T37" s="56"/>
      <c r="U37" s="56"/>
      <c r="V37" s="56"/>
      <c r="W37" s="56"/>
      <c r="X37" s="56"/>
      <c r="Y37" s="56"/>
      <c r="Z37" s="56"/>
      <c r="AA37" s="56"/>
      <c r="AB37" s="57"/>
      <c r="AC37" s="57"/>
      <c r="AH37" s="77"/>
    </row>
    <row r="38" spans="2:34" ht="19" customHeight="1" x14ac:dyDescent="0.2">
      <c r="B38" s="88" t="s">
        <v>336</v>
      </c>
      <c r="C38" s="55">
        <v>15</v>
      </c>
      <c r="D38" s="55">
        <v>2</v>
      </c>
      <c r="E38" s="55"/>
      <c r="F38" s="55"/>
      <c r="G38" s="122">
        <v>0</v>
      </c>
      <c r="H38" s="56"/>
      <c r="I38" s="56"/>
      <c r="J38" s="74"/>
      <c r="K38" s="56"/>
      <c r="L38" s="68"/>
      <c r="M38" s="56"/>
      <c r="N38" s="73"/>
      <c r="O38" s="56"/>
      <c r="P38" s="68"/>
      <c r="Q38" s="56"/>
      <c r="R38" s="56"/>
      <c r="S38" s="77"/>
      <c r="T38" s="56"/>
      <c r="U38" s="56"/>
      <c r="V38" s="56"/>
      <c r="W38" s="56"/>
      <c r="X38" s="56"/>
      <c r="Y38" s="56"/>
      <c r="Z38" s="56"/>
      <c r="AA38" s="56"/>
      <c r="AB38" s="57"/>
      <c r="AC38" s="57"/>
      <c r="AH38" s="77"/>
    </row>
    <row r="39" spans="2:34" ht="19" customHeight="1" x14ac:dyDescent="0.2">
      <c r="B39" s="88" t="s">
        <v>337</v>
      </c>
      <c r="C39" s="55">
        <v>17</v>
      </c>
      <c r="D39" s="55">
        <v>1</v>
      </c>
      <c r="E39" s="55"/>
      <c r="F39" s="55"/>
      <c r="G39" s="122">
        <v>0</v>
      </c>
      <c r="H39" s="56"/>
      <c r="I39" s="56"/>
      <c r="J39" s="74"/>
      <c r="K39" s="56"/>
      <c r="L39" s="68"/>
      <c r="M39" s="56"/>
      <c r="N39" s="73"/>
      <c r="O39" s="56"/>
      <c r="P39" s="68"/>
      <c r="Q39" s="56"/>
      <c r="R39" s="56"/>
      <c r="S39" s="77"/>
      <c r="T39" s="56"/>
      <c r="U39" s="56"/>
      <c r="V39" s="56"/>
      <c r="W39" s="56"/>
      <c r="X39" s="56"/>
      <c r="Y39" s="56"/>
      <c r="Z39" s="56"/>
      <c r="AA39" s="56"/>
      <c r="AB39" s="57"/>
      <c r="AC39" s="57"/>
      <c r="AH39" s="77"/>
    </row>
    <row r="40" spans="2:34" ht="19" customHeight="1" x14ac:dyDescent="0.2">
      <c r="B40" s="88" t="s">
        <v>250</v>
      </c>
      <c r="C40" s="55">
        <v>13</v>
      </c>
      <c r="D40" s="55">
        <v>5</v>
      </c>
      <c r="E40" s="55"/>
      <c r="F40" s="55"/>
      <c r="G40" s="122">
        <v>0</v>
      </c>
      <c r="H40" s="56"/>
      <c r="I40" s="56"/>
      <c r="J40" s="74"/>
      <c r="K40" s="56"/>
      <c r="L40" s="68"/>
      <c r="M40" s="56"/>
      <c r="N40" s="73"/>
      <c r="O40" s="56"/>
      <c r="P40" s="68"/>
      <c r="Q40" s="56"/>
      <c r="R40" s="56"/>
      <c r="S40" s="77"/>
      <c r="T40" s="56"/>
      <c r="U40" s="56"/>
      <c r="V40" s="56"/>
      <c r="W40" s="56"/>
      <c r="X40" s="56"/>
      <c r="Y40" s="56"/>
      <c r="Z40" s="56"/>
      <c r="AA40" s="56"/>
      <c r="AB40" s="57"/>
      <c r="AC40" s="57"/>
      <c r="AH40" s="77"/>
    </row>
    <row r="41" spans="2:34" ht="19" customHeight="1" x14ac:dyDescent="0.2">
      <c r="B41" s="88" t="s">
        <v>254</v>
      </c>
      <c r="C41" s="55">
        <v>17</v>
      </c>
      <c r="D41" s="55">
        <v>2</v>
      </c>
      <c r="E41" s="55"/>
      <c r="F41" s="55"/>
      <c r="G41" s="122">
        <v>0</v>
      </c>
      <c r="H41" s="56"/>
      <c r="I41" s="56"/>
      <c r="J41" s="74"/>
      <c r="K41" s="56"/>
      <c r="L41" s="68"/>
      <c r="M41" s="56"/>
      <c r="N41" s="73"/>
      <c r="O41" s="56"/>
      <c r="P41" s="68"/>
      <c r="Q41" s="56"/>
      <c r="R41" s="56"/>
      <c r="S41" s="77"/>
      <c r="T41" s="56"/>
      <c r="U41" s="56"/>
      <c r="V41" s="56"/>
      <c r="W41" s="56"/>
      <c r="X41" s="56"/>
      <c r="Y41" s="56"/>
      <c r="Z41" s="56"/>
      <c r="AA41" s="56"/>
      <c r="AB41" s="57"/>
      <c r="AC41" s="57"/>
      <c r="AH41" s="77"/>
    </row>
    <row r="42" spans="2:34" ht="19" customHeight="1" x14ac:dyDescent="0.2">
      <c r="B42" s="81" t="s">
        <v>291</v>
      </c>
      <c r="C42" s="55">
        <v>17</v>
      </c>
      <c r="D42" s="55">
        <v>5</v>
      </c>
      <c r="E42" s="55"/>
      <c r="F42" s="55"/>
      <c r="G42" s="122">
        <v>0</v>
      </c>
      <c r="H42" s="56"/>
      <c r="I42" s="56"/>
      <c r="J42" s="74"/>
      <c r="K42" s="56"/>
      <c r="L42" s="68"/>
      <c r="M42" s="56"/>
      <c r="N42" s="73"/>
      <c r="O42" s="56"/>
      <c r="P42" s="68"/>
      <c r="Q42" s="56"/>
      <c r="R42" s="56"/>
      <c r="S42" s="77"/>
      <c r="T42" s="56"/>
      <c r="U42" s="56"/>
      <c r="V42" s="56"/>
      <c r="W42" s="56"/>
      <c r="X42" s="56"/>
      <c r="Y42" s="56"/>
      <c r="Z42" s="56"/>
      <c r="AA42" s="56"/>
      <c r="AB42" s="57"/>
      <c r="AC42" s="57"/>
      <c r="AH42" s="77"/>
    </row>
    <row r="43" spans="2:34" ht="19" customHeight="1" x14ac:dyDescent="0.2">
      <c r="B43" s="88" t="s">
        <v>355</v>
      </c>
      <c r="C43" s="55">
        <v>18</v>
      </c>
      <c r="D43" s="55">
        <v>3</v>
      </c>
      <c r="E43" s="55">
        <v>13</v>
      </c>
      <c r="F43" s="55">
        <v>4</v>
      </c>
      <c r="G43" s="122">
        <v>0.25</v>
      </c>
      <c r="H43" s="56"/>
      <c r="I43" s="56"/>
      <c r="J43" s="74"/>
      <c r="K43" s="56"/>
      <c r="L43" s="68"/>
      <c r="M43" s="56"/>
      <c r="N43" s="73"/>
      <c r="O43" s="56"/>
      <c r="P43" s="68"/>
      <c r="Q43" s="56"/>
      <c r="R43" s="56"/>
      <c r="S43" s="77"/>
      <c r="T43" s="56"/>
      <c r="U43" s="56"/>
      <c r="V43" s="56"/>
      <c r="W43" s="56"/>
      <c r="X43" s="56"/>
      <c r="Y43" s="56"/>
      <c r="Z43" s="56"/>
      <c r="AA43" s="56"/>
      <c r="AB43" s="57"/>
      <c r="AC43" s="57"/>
      <c r="AH43" s="77"/>
    </row>
    <row r="44" spans="2:34" ht="19" customHeight="1" x14ac:dyDescent="0.2">
      <c r="B44" s="88" t="s">
        <v>356</v>
      </c>
      <c r="C44" s="55">
        <v>18</v>
      </c>
      <c r="D44" s="55">
        <v>3</v>
      </c>
      <c r="E44" s="55">
        <v>13</v>
      </c>
      <c r="F44" s="55">
        <v>4</v>
      </c>
      <c r="G44" s="122">
        <v>0.25</v>
      </c>
      <c r="H44" s="56"/>
      <c r="I44" s="56"/>
      <c r="J44" s="74"/>
      <c r="K44" s="56"/>
      <c r="L44" s="68"/>
      <c r="M44" s="56"/>
      <c r="N44" s="73"/>
      <c r="O44" s="56"/>
      <c r="P44" s="68"/>
      <c r="Q44" s="56"/>
      <c r="R44" s="56"/>
      <c r="S44" s="77"/>
      <c r="T44" s="56"/>
      <c r="U44" s="56"/>
      <c r="V44" s="56"/>
      <c r="W44" s="56"/>
      <c r="X44" s="56"/>
      <c r="Y44" s="56"/>
      <c r="Z44" s="56"/>
      <c r="AA44" s="56"/>
      <c r="AB44" s="57"/>
      <c r="AC44" s="57"/>
      <c r="AH44" s="77"/>
    </row>
    <row r="45" spans="2:34" ht="19" customHeight="1" x14ac:dyDescent="0.2">
      <c r="B45" s="88" t="s">
        <v>288</v>
      </c>
      <c r="C45" s="55">
        <v>20</v>
      </c>
      <c r="D45" s="55">
        <v>1</v>
      </c>
      <c r="E45" s="55"/>
      <c r="F45" s="55"/>
      <c r="G45" s="122">
        <v>0</v>
      </c>
      <c r="H45" s="56"/>
      <c r="I45" s="56"/>
      <c r="J45" s="74"/>
      <c r="K45" s="56"/>
      <c r="L45" s="68"/>
      <c r="M45" s="56"/>
      <c r="N45" s="73"/>
      <c r="O45" s="56"/>
      <c r="P45" s="68"/>
      <c r="Q45" s="56"/>
      <c r="R45" s="56"/>
      <c r="S45" s="77"/>
      <c r="T45" s="56"/>
      <c r="U45" s="56"/>
      <c r="V45" s="56"/>
      <c r="W45" s="56"/>
      <c r="X45" s="56"/>
      <c r="Y45" s="56"/>
      <c r="Z45" s="56"/>
      <c r="AA45" s="56"/>
      <c r="AB45" s="57"/>
      <c r="AC45" s="57"/>
      <c r="AH45" s="77"/>
    </row>
    <row r="46" spans="2:34" ht="19" customHeight="1" x14ac:dyDescent="0.2">
      <c r="B46" s="81" t="s">
        <v>287</v>
      </c>
      <c r="C46" s="55">
        <v>21</v>
      </c>
      <c r="D46" s="55">
        <v>2</v>
      </c>
      <c r="E46" s="55"/>
      <c r="F46" s="55"/>
      <c r="G46" s="122">
        <v>0</v>
      </c>
      <c r="H46" s="56"/>
      <c r="I46" s="56"/>
      <c r="J46" s="74"/>
      <c r="K46" s="56"/>
      <c r="L46" s="68"/>
      <c r="M46" s="56"/>
      <c r="N46" s="73"/>
      <c r="O46" s="56"/>
      <c r="P46" s="68"/>
      <c r="Q46" s="56"/>
      <c r="R46" s="56"/>
      <c r="S46" s="77"/>
      <c r="T46" s="56"/>
      <c r="U46" s="56"/>
      <c r="V46" s="56"/>
      <c r="W46" s="56"/>
      <c r="X46" s="56"/>
      <c r="Y46" s="56"/>
      <c r="Z46" s="56"/>
      <c r="AA46" s="56"/>
      <c r="AB46" s="57"/>
      <c r="AC46" s="57"/>
      <c r="AH46" s="77"/>
    </row>
    <row r="47" spans="2:34" ht="19" customHeight="1" x14ac:dyDescent="0.2">
      <c r="B47" s="81" t="s">
        <v>255</v>
      </c>
      <c r="C47" s="55">
        <v>21</v>
      </c>
      <c r="D47" s="55">
        <v>2</v>
      </c>
      <c r="E47" s="55"/>
      <c r="F47" s="55"/>
      <c r="G47" s="122">
        <v>0</v>
      </c>
      <c r="H47" s="56"/>
      <c r="I47" s="56"/>
      <c r="J47" s="74"/>
      <c r="K47" s="56"/>
      <c r="L47" s="68"/>
      <c r="M47" s="56"/>
      <c r="N47" s="73"/>
      <c r="O47" s="56"/>
      <c r="P47" s="68"/>
      <c r="Q47" s="56"/>
      <c r="R47" s="56"/>
      <c r="S47" s="77"/>
      <c r="T47" s="56"/>
      <c r="U47" s="56"/>
      <c r="V47" s="56"/>
      <c r="W47" s="56"/>
      <c r="X47" s="56"/>
      <c r="Y47" s="56"/>
      <c r="Z47" s="56"/>
      <c r="AA47" s="56"/>
      <c r="AB47" s="57"/>
      <c r="AC47" s="57"/>
      <c r="AH47" s="77"/>
    </row>
    <row r="48" spans="2:34" ht="19" customHeight="1" x14ac:dyDescent="0.2">
      <c r="B48" s="83" t="s">
        <v>256</v>
      </c>
      <c r="C48" s="55">
        <v>23</v>
      </c>
      <c r="D48" s="55">
        <v>3</v>
      </c>
      <c r="E48" s="55"/>
      <c r="F48" s="55"/>
      <c r="G48" s="122">
        <v>0</v>
      </c>
      <c r="H48" s="56"/>
      <c r="I48" s="56"/>
      <c r="J48" s="74"/>
      <c r="K48" s="56"/>
      <c r="L48" s="68"/>
      <c r="M48" s="56"/>
      <c r="N48" s="73"/>
      <c r="O48" s="56"/>
      <c r="P48" s="68"/>
      <c r="Q48" s="56"/>
      <c r="R48" s="56"/>
      <c r="S48" s="77"/>
      <c r="T48" s="56"/>
      <c r="U48" s="56"/>
      <c r="V48" s="56"/>
      <c r="W48" s="56"/>
      <c r="X48" s="56"/>
      <c r="Y48" s="56"/>
      <c r="Z48" s="56"/>
      <c r="AA48" s="56"/>
      <c r="AB48" s="57"/>
      <c r="AC48" s="57"/>
      <c r="AH48" s="77"/>
    </row>
    <row r="49" spans="2:68" ht="19" customHeight="1" x14ac:dyDescent="0.2">
      <c r="B49" s="81" t="s">
        <v>259</v>
      </c>
      <c r="C49" s="55">
        <v>23</v>
      </c>
      <c r="D49" s="55">
        <v>1</v>
      </c>
      <c r="E49" s="55"/>
      <c r="F49" s="55"/>
      <c r="G49" s="122">
        <v>0</v>
      </c>
      <c r="H49" s="56"/>
      <c r="I49" s="56"/>
      <c r="J49" s="74"/>
      <c r="K49" s="56"/>
      <c r="L49" s="68"/>
      <c r="M49" s="56"/>
      <c r="N49" s="73"/>
      <c r="O49" s="56"/>
      <c r="P49" s="68"/>
      <c r="Q49" s="56"/>
      <c r="R49" s="56"/>
      <c r="S49" s="77"/>
      <c r="T49" s="56"/>
      <c r="U49" s="56"/>
      <c r="V49" s="56"/>
      <c r="W49" s="56"/>
      <c r="X49" s="56"/>
      <c r="Y49" s="56"/>
      <c r="Z49" s="56"/>
      <c r="AA49" s="56"/>
      <c r="AB49" s="57"/>
      <c r="AC49" s="57"/>
      <c r="AH49" s="77"/>
    </row>
    <row r="50" spans="2:68" ht="19" customHeight="1" x14ac:dyDescent="0.2">
      <c r="B50" s="81" t="s">
        <v>260</v>
      </c>
      <c r="C50" s="55">
        <v>23</v>
      </c>
      <c r="D50" s="55">
        <v>1</v>
      </c>
      <c r="E50" s="55"/>
      <c r="F50" s="55"/>
      <c r="G50" s="122">
        <v>0</v>
      </c>
      <c r="H50" s="56"/>
      <c r="I50" s="56"/>
      <c r="J50" s="74"/>
      <c r="K50" s="56"/>
      <c r="L50" s="68"/>
      <c r="M50" s="56"/>
      <c r="N50" s="73"/>
      <c r="O50" s="56"/>
      <c r="P50" s="68"/>
      <c r="Q50" s="56"/>
      <c r="R50" s="56"/>
      <c r="S50" s="77"/>
      <c r="T50" s="56"/>
      <c r="U50" s="56"/>
      <c r="V50" s="56"/>
      <c r="W50" s="56"/>
      <c r="X50" s="56"/>
      <c r="Y50" s="56"/>
      <c r="Z50" s="56"/>
      <c r="AA50" s="56"/>
      <c r="AB50" s="57"/>
      <c r="AC50" s="57"/>
      <c r="AH50" s="77"/>
    </row>
    <row r="51" spans="2:68" ht="19" customHeight="1" x14ac:dyDescent="0.2">
      <c r="B51" s="81" t="s">
        <v>261</v>
      </c>
      <c r="C51" s="55">
        <v>24</v>
      </c>
      <c r="D51" s="55">
        <v>1</v>
      </c>
      <c r="E51" s="55"/>
      <c r="F51" s="55"/>
      <c r="G51" s="122">
        <v>0</v>
      </c>
      <c r="H51" s="56"/>
      <c r="I51" s="56"/>
      <c r="J51" s="74"/>
      <c r="K51" s="56"/>
      <c r="L51" s="68"/>
      <c r="M51" s="56"/>
      <c r="N51" s="73"/>
      <c r="O51" s="56"/>
      <c r="P51" s="68"/>
      <c r="Q51" s="56"/>
      <c r="R51" s="56"/>
      <c r="S51" s="77"/>
      <c r="T51" s="56"/>
      <c r="U51" s="56"/>
      <c r="V51" s="56"/>
      <c r="W51" s="56"/>
      <c r="X51" s="56"/>
      <c r="Y51" s="56"/>
      <c r="Z51" s="56"/>
      <c r="AA51" s="56"/>
      <c r="AB51" s="57"/>
      <c r="AC51" s="57"/>
      <c r="AH51" s="77"/>
    </row>
    <row r="52" spans="2:68" ht="19" customHeight="1" x14ac:dyDescent="0.2">
      <c r="B52" s="81" t="s">
        <v>262</v>
      </c>
      <c r="C52" s="55">
        <v>23</v>
      </c>
      <c r="D52" s="55">
        <v>2</v>
      </c>
      <c r="E52" s="55"/>
      <c r="F52" s="55"/>
      <c r="G52" s="122">
        <v>0</v>
      </c>
      <c r="H52" s="56"/>
      <c r="I52" s="56"/>
      <c r="J52" s="74"/>
      <c r="K52" s="56"/>
      <c r="L52" s="68"/>
      <c r="M52" s="56"/>
      <c r="N52" s="73"/>
      <c r="O52" s="56"/>
      <c r="P52" s="68"/>
      <c r="Q52" s="56"/>
      <c r="R52" s="56"/>
      <c r="S52" s="77"/>
      <c r="T52" s="56"/>
      <c r="U52" s="56"/>
      <c r="V52" s="56"/>
      <c r="W52" s="56"/>
      <c r="X52" s="56"/>
      <c r="Y52" s="56"/>
      <c r="Z52" s="56"/>
      <c r="AA52" s="56"/>
      <c r="AB52" s="57"/>
      <c r="AC52" s="57"/>
      <c r="AH52" s="77"/>
    </row>
    <row r="53" spans="2:68" ht="19" customHeight="1" x14ac:dyDescent="0.2">
      <c r="B53" s="80"/>
      <c r="C53" s="55"/>
      <c r="D53" s="55"/>
      <c r="E53" s="55"/>
      <c r="F53" s="55"/>
      <c r="G53" s="122"/>
      <c r="H53" s="56"/>
      <c r="I53" s="56"/>
      <c r="J53" s="74"/>
      <c r="K53" s="56"/>
      <c r="L53" s="68"/>
      <c r="M53" s="56"/>
      <c r="N53" s="73"/>
      <c r="O53" s="56"/>
      <c r="P53" s="68"/>
      <c r="Q53" s="56"/>
      <c r="R53" s="56"/>
      <c r="S53" s="77"/>
      <c r="T53" s="56"/>
      <c r="U53" s="56"/>
      <c r="V53" s="56"/>
      <c r="W53" s="56"/>
      <c r="X53" s="56"/>
      <c r="Y53" s="56"/>
      <c r="Z53" s="56"/>
      <c r="AA53" s="56"/>
      <c r="AB53" s="57"/>
      <c r="AC53" s="57"/>
      <c r="AH53" s="77"/>
    </row>
    <row r="54" spans="2:68" ht="19" customHeight="1" x14ac:dyDescent="0.2">
      <c r="B54" s="84" t="s">
        <v>263</v>
      </c>
      <c r="C54" s="55">
        <v>25</v>
      </c>
      <c r="D54" s="55">
        <v>3</v>
      </c>
      <c r="E54" s="55"/>
      <c r="F54" s="55"/>
      <c r="G54" s="122">
        <v>0</v>
      </c>
      <c r="H54" s="56"/>
      <c r="I54" s="56"/>
      <c r="J54" s="74"/>
      <c r="K54" s="56"/>
      <c r="L54" s="68"/>
      <c r="M54" s="56"/>
      <c r="N54" s="73"/>
      <c r="O54" s="56"/>
      <c r="P54" s="68"/>
      <c r="Q54" s="56"/>
      <c r="R54" s="56"/>
      <c r="S54" s="77"/>
      <c r="T54" s="56"/>
      <c r="U54" s="56"/>
      <c r="V54" s="56"/>
      <c r="W54" s="56"/>
      <c r="X54" s="56"/>
      <c r="Y54" s="56"/>
      <c r="Z54" s="56"/>
      <c r="AA54" s="56"/>
      <c r="AB54" s="57"/>
      <c r="AC54" s="57"/>
      <c r="AH54" s="77"/>
    </row>
    <row r="55" spans="2:68" ht="19" customHeight="1" x14ac:dyDescent="0.2">
      <c r="B55" s="85" t="s">
        <v>264</v>
      </c>
      <c r="C55" s="55">
        <v>25</v>
      </c>
      <c r="D55" s="55">
        <v>3</v>
      </c>
      <c r="E55" s="55"/>
      <c r="F55" s="55"/>
      <c r="G55" s="122">
        <v>0</v>
      </c>
      <c r="H55" s="56"/>
      <c r="I55" s="56"/>
      <c r="J55" s="74"/>
      <c r="K55" s="56"/>
      <c r="L55" s="68"/>
      <c r="M55" s="56"/>
      <c r="N55" s="73"/>
      <c r="O55" s="56"/>
      <c r="P55" s="68"/>
      <c r="Q55" s="56"/>
      <c r="R55" s="56"/>
      <c r="S55" s="77"/>
      <c r="T55" s="56"/>
      <c r="U55" s="56"/>
      <c r="V55" s="56"/>
      <c r="W55" s="56"/>
      <c r="X55" s="56"/>
      <c r="Y55" s="56"/>
      <c r="Z55" s="56"/>
      <c r="AA55" s="56"/>
      <c r="AB55" s="57"/>
      <c r="AC55" s="57"/>
      <c r="AH55" s="77"/>
    </row>
    <row r="56" spans="2:68" ht="19" customHeight="1" x14ac:dyDescent="0.2">
      <c r="B56" s="80" t="s">
        <v>265</v>
      </c>
      <c r="C56" s="55">
        <v>25</v>
      </c>
      <c r="D56" s="55">
        <v>1</v>
      </c>
      <c r="E56" s="55"/>
      <c r="F56" s="55"/>
      <c r="G56" s="122">
        <v>0</v>
      </c>
      <c r="H56" s="56"/>
      <c r="I56" s="56"/>
      <c r="J56" s="74"/>
      <c r="K56" s="56"/>
      <c r="L56" s="68"/>
      <c r="M56" s="56"/>
      <c r="N56" s="73"/>
      <c r="O56" s="56"/>
      <c r="P56" s="68"/>
      <c r="Q56" s="56"/>
      <c r="R56" s="56"/>
      <c r="S56" s="77"/>
      <c r="T56" s="56"/>
      <c r="U56" s="56"/>
      <c r="V56" s="56"/>
      <c r="W56" s="56"/>
      <c r="X56" s="56"/>
      <c r="Y56" s="56"/>
      <c r="Z56" s="56"/>
      <c r="AA56" s="56"/>
      <c r="AB56" s="57"/>
      <c r="AC56" s="57"/>
      <c r="AH56" s="77"/>
    </row>
    <row r="57" spans="2:68" ht="19" customHeight="1" x14ac:dyDescent="0.2">
      <c r="B57" s="80" t="s">
        <v>266</v>
      </c>
      <c r="C57" s="55">
        <v>26</v>
      </c>
      <c r="D57" s="55">
        <v>2</v>
      </c>
      <c r="E57" s="55"/>
      <c r="F57" s="55"/>
      <c r="G57" s="122">
        <v>0</v>
      </c>
      <c r="H57" s="56"/>
      <c r="I57" s="56"/>
      <c r="J57" s="74"/>
      <c r="K57" s="56"/>
      <c r="L57" s="68"/>
      <c r="M57" s="56"/>
      <c r="N57" s="73"/>
      <c r="O57" s="56"/>
      <c r="P57" s="68"/>
      <c r="Q57" s="56"/>
      <c r="R57" s="56"/>
      <c r="S57" s="77"/>
      <c r="T57" s="56"/>
      <c r="U57" s="56"/>
      <c r="V57" s="56"/>
      <c r="W57" s="56"/>
      <c r="X57" s="56"/>
      <c r="Y57" s="56"/>
      <c r="Z57" s="56"/>
      <c r="AA57" s="56"/>
      <c r="AB57" s="57"/>
      <c r="AC57" s="57"/>
      <c r="AH57" s="77"/>
    </row>
    <row r="58" spans="2:68" ht="19" customHeight="1" x14ac:dyDescent="0.2">
      <c r="B58" s="80"/>
      <c r="C58" s="55"/>
      <c r="D58" s="55"/>
      <c r="E58" s="55"/>
      <c r="F58" s="55"/>
      <c r="G58" s="122"/>
      <c r="H58" s="56"/>
      <c r="I58" s="56"/>
      <c r="J58" s="74"/>
      <c r="K58" s="56"/>
      <c r="L58" s="68"/>
      <c r="M58" s="56"/>
      <c r="N58" s="73"/>
      <c r="O58" s="56"/>
      <c r="P58" s="68"/>
      <c r="Q58" s="56"/>
      <c r="R58" s="56"/>
      <c r="S58" s="77"/>
      <c r="T58" s="56"/>
      <c r="U58" s="56"/>
      <c r="V58" s="56"/>
      <c r="W58" s="56"/>
      <c r="X58" s="56"/>
      <c r="Y58" s="56"/>
      <c r="Z58" s="56"/>
      <c r="AA58" s="56"/>
      <c r="AB58" s="57"/>
      <c r="AC58" s="57"/>
      <c r="AH58" s="77"/>
    </row>
    <row r="59" spans="2:68" s="41" customFormat="1" ht="19" customHeight="1" x14ac:dyDescent="0.2">
      <c r="B59" s="86" t="s">
        <v>289</v>
      </c>
      <c r="C59" s="55">
        <v>1</v>
      </c>
      <c r="D59" s="55">
        <v>27</v>
      </c>
      <c r="E59" s="55">
        <v>1</v>
      </c>
      <c r="F59" s="55">
        <v>16</v>
      </c>
      <c r="G59" s="122">
        <v>0.1</v>
      </c>
      <c r="H59" s="56"/>
      <c r="I59" s="56"/>
      <c r="J59" s="73"/>
      <c r="K59" s="73"/>
      <c r="L59" s="68"/>
      <c r="M59" s="56"/>
      <c r="N59" s="73"/>
      <c r="O59" s="56"/>
      <c r="P59" s="68"/>
      <c r="Q59" s="56"/>
      <c r="R59" s="56"/>
      <c r="S59" s="77"/>
      <c r="T59" s="56"/>
      <c r="U59" s="56"/>
      <c r="V59" s="56"/>
      <c r="W59" s="56"/>
      <c r="X59" s="56"/>
      <c r="Y59" s="56"/>
      <c r="Z59" s="56"/>
      <c r="AA59" s="56"/>
      <c r="AB59" s="57"/>
      <c r="AC59" s="57"/>
      <c r="AD59" s="42"/>
      <c r="AE59" s="42"/>
      <c r="AF59" s="42"/>
      <c r="AG59" s="42"/>
      <c r="AH59" s="77"/>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row>
  </sheetData>
  <mergeCells count="2">
    <mergeCell ref="B2:F4"/>
    <mergeCell ref="B7:B8"/>
  </mergeCells>
  <conditionalFormatting sqref="H9:O10 H18:Q19 H13:J15 M13:O15 K22:Q23 M32:O34 Q32:Q34 M37:Q37 M35:Q35 H22:I59 M36:O36 Q36 M38:O59 Q38:Q59 K24:K58 M24:Q25 H12:O12 H11:K11 M11:O11 M30:Q31 M29:O29 Q29 M28:Q28 M26:O27 Q26:Q27 H20:O21 Q20:Q21 H16:O17 Q9:Q17 AI9:BO59 X9:AG59 T9:V59">
    <cfRule type="expression" dxfId="146" priority="126">
      <formula>PercentComplete</formula>
    </cfRule>
    <cfRule type="expression" dxfId="145" priority="128">
      <formula>PercentCompleteBeyond</formula>
    </cfRule>
    <cfRule type="expression" dxfId="144" priority="129">
      <formula>Actual</formula>
    </cfRule>
    <cfRule type="expression" dxfId="143" priority="130">
      <formula>ActualBeyond</formula>
    </cfRule>
    <cfRule type="expression" dxfId="142" priority="131">
      <formula>Plan</formula>
    </cfRule>
    <cfRule type="expression" dxfId="141" priority="132">
      <formula>H$8=period_selected</formula>
    </cfRule>
    <cfRule type="expression" dxfId="140" priority="134">
      <formula>MOD(COLUMN(),2)</formula>
    </cfRule>
    <cfRule type="expression" dxfId="139" priority="135">
      <formula>MOD(COLUMN(),2)=0</formula>
    </cfRule>
  </conditionalFormatting>
  <conditionalFormatting sqref="B60:BO60">
    <cfRule type="expression" dxfId="138" priority="127">
      <formula>TRUE</formula>
    </cfRule>
  </conditionalFormatting>
  <conditionalFormatting sqref="H8:J8 L8:O8 Q8 S8:V8 AI8:BO8 X8:AG8">
    <cfRule type="expression" dxfId="137" priority="133">
      <formula>H$8=period_selected</formula>
    </cfRule>
  </conditionalFormatting>
  <conditionalFormatting sqref="K59">
    <cfRule type="expression" dxfId="136" priority="110">
      <formula>PercentComplete</formula>
    </cfRule>
    <cfRule type="expression" dxfId="135" priority="111">
      <formula>PercentCompleteBeyond</formula>
    </cfRule>
    <cfRule type="expression" dxfId="134" priority="112">
      <formula>Actual</formula>
    </cfRule>
    <cfRule type="expression" dxfId="133" priority="113">
      <formula>ActualBeyond</formula>
    </cfRule>
    <cfRule type="expression" dxfId="132" priority="114">
      <formula>Plan</formula>
    </cfRule>
    <cfRule type="expression" dxfId="131" priority="115">
      <formula>K$8=period_selected</formula>
    </cfRule>
    <cfRule type="expression" dxfId="130" priority="116">
      <formula>MOD(COLUMN(),2)</formula>
    </cfRule>
    <cfRule type="expression" dxfId="129" priority="117">
      <formula>MOD(COLUMN(),2)=0</formula>
    </cfRule>
  </conditionalFormatting>
  <conditionalFormatting sqref="K13:K15">
    <cfRule type="expression" dxfId="128" priority="94">
      <formula>PercentComplete</formula>
    </cfRule>
    <cfRule type="expression" dxfId="127" priority="95">
      <formula>PercentCompleteBeyond</formula>
    </cfRule>
    <cfRule type="expression" dxfId="126" priority="96">
      <formula>Actual</formula>
    </cfRule>
    <cfRule type="expression" dxfId="125" priority="97">
      <formula>ActualBeyond</formula>
    </cfRule>
    <cfRule type="expression" dxfId="124" priority="98">
      <formula>Plan</formula>
    </cfRule>
    <cfRule type="expression" dxfId="123" priority="99">
      <formula>K$8=period_selected</formula>
    </cfRule>
    <cfRule type="expression" dxfId="122" priority="100">
      <formula>MOD(COLUMN(),2)</formula>
    </cfRule>
    <cfRule type="expression" dxfId="121" priority="101">
      <formula>MOD(COLUMN(),2)=0</formula>
    </cfRule>
  </conditionalFormatting>
  <conditionalFormatting sqref="J59">
    <cfRule type="expression" dxfId="120" priority="86">
      <formula>PercentComplete</formula>
    </cfRule>
    <cfRule type="expression" dxfId="119" priority="87">
      <formula>PercentCompleteBeyond</formula>
    </cfRule>
    <cfRule type="expression" dxfId="118" priority="88">
      <formula>Actual</formula>
    </cfRule>
    <cfRule type="expression" dxfId="117" priority="89">
      <formula>ActualBeyond</formula>
    </cfRule>
    <cfRule type="expression" dxfId="116" priority="90">
      <formula>Plan</formula>
    </cfRule>
    <cfRule type="expression" dxfId="115" priority="91">
      <formula>J$8=period_selected</formula>
    </cfRule>
    <cfRule type="expression" dxfId="114" priority="92">
      <formula>MOD(COLUMN(),2)</formula>
    </cfRule>
    <cfRule type="expression" dxfId="113" priority="93">
      <formula>MOD(COLUMN(),2)=0</formula>
    </cfRule>
  </conditionalFormatting>
  <conditionalFormatting sqref="P36">
    <cfRule type="expression" dxfId="112" priority="62">
      <formula>PercentComplete</formula>
    </cfRule>
    <cfRule type="expression" dxfId="111" priority="63">
      <formula>PercentCompleteBeyond</formula>
    </cfRule>
    <cfRule type="expression" dxfId="110" priority="64">
      <formula>Actual</formula>
    </cfRule>
    <cfRule type="expression" dxfId="109" priority="65">
      <formula>ActualBeyond</formula>
    </cfRule>
    <cfRule type="expression" dxfId="108" priority="66">
      <formula>Plan</formula>
    </cfRule>
    <cfRule type="expression" dxfId="107" priority="67">
      <formula>P$8=period_selected</formula>
    </cfRule>
    <cfRule type="expression" dxfId="106" priority="68">
      <formula>MOD(COLUMN(),2)</formula>
    </cfRule>
    <cfRule type="expression" dxfId="105" priority="69">
      <formula>MOD(COLUMN(),2)=0</formula>
    </cfRule>
  </conditionalFormatting>
  <conditionalFormatting sqref="AH8">
    <cfRule type="expression" dxfId="104" priority="35">
      <formula>AH$8=period_selected</formula>
    </cfRule>
  </conditionalFormatting>
  <conditionalFormatting sqref="W9:W59">
    <cfRule type="expression" dxfId="103" priority="26">
      <formula>PercentComplete</formula>
    </cfRule>
    <cfRule type="expression" dxfId="102" priority="27">
      <formula>PercentCompleteBeyond</formula>
    </cfRule>
    <cfRule type="expression" dxfId="101" priority="28">
      <formula>Actual</formula>
    </cfRule>
    <cfRule type="expression" dxfId="100" priority="29">
      <formula>ActualBeyond</formula>
    </cfRule>
    <cfRule type="expression" dxfId="99" priority="30">
      <formula>Plan</formula>
    </cfRule>
    <cfRule type="expression" dxfId="98" priority="31">
      <formula>W$8=period_selected</formula>
    </cfRule>
    <cfRule type="expression" dxfId="97" priority="33">
      <formula>MOD(COLUMN(),2)</formula>
    </cfRule>
    <cfRule type="expression" dxfId="96" priority="34">
      <formula>MOD(COLUMN(),2)=0</formula>
    </cfRule>
  </conditionalFormatting>
  <conditionalFormatting sqref="W8">
    <cfRule type="expression" dxfId="95" priority="32">
      <formula>W$8=period_selected</formula>
    </cfRule>
  </conditionalFormatting>
  <conditionalFormatting sqref="R9:R59">
    <cfRule type="expression" dxfId="94" priority="17">
      <formula>PercentComplete</formula>
    </cfRule>
    <cfRule type="expression" dxfId="93" priority="18">
      <formula>PercentCompleteBeyond</formula>
    </cfRule>
    <cfRule type="expression" dxfId="92" priority="19">
      <formula>Actual</formula>
    </cfRule>
    <cfRule type="expression" dxfId="91" priority="20">
      <formula>ActualBeyond</formula>
    </cfRule>
    <cfRule type="expression" dxfId="90" priority="21">
      <formula>Plan</formula>
    </cfRule>
    <cfRule type="expression" dxfId="89" priority="22">
      <formula>R$8=period_selected</formula>
    </cfRule>
    <cfRule type="expression" dxfId="88" priority="24">
      <formula>MOD(COLUMN(),2)</formula>
    </cfRule>
    <cfRule type="expression" dxfId="87" priority="25">
      <formula>MOD(COLUMN(),2)=0</formula>
    </cfRule>
  </conditionalFormatting>
  <conditionalFormatting sqref="R8">
    <cfRule type="expression" dxfId="86" priority="23">
      <formula>R$8=period_selected</formula>
    </cfRule>
  </conditionalFormatting>
  <conditionalFormatting sqref="P16:P17">
    <cfRule type="expression" dxfId="85" priority="9">
      <formula>PercentComplete</formula>
    </cfRule>
    <cfRule type="expression" dxfId="84" priority="10">
      <formula>PercentCompleteBeyond</formula>
    </cfRule>
    <cfRule type="expression" dxfId="83" priority="11">
      <formula>Actual</formula>
    </cfRule>
    <cfRule type="expression" dxfId="82" priority="12">
      <formula>ActualBeyond</formula>
    </cfRule>
    <cfRule type="expression" dxfId="81" priority="13">
      <formula>Plan</formula>
    </cfRule>
    <cfRule type="expression" dxfId="80" priority="14">
      <formula>P$8=period_selected</formula>
    </cfRule>
    <cfRule type="expression" dxfId="79" priority="15">
      <formula>MOD(COLUMN(),2)</formula>
    </cfRule>
    <cfRule type="expression" dxfId="78" priority="16">
      <formula>MOD(COLUMN(),2)=0</formula>
    </cfRule>
  </conditionalFormatting>
  <conditionalFormatting sqref="P26">
    <cfRule type="expression" dxfId="77" priority="1">
      <formula>PercentComplete</formula>
    </cfRule>
    <cfRule type="expression" dxfId="76" priority="2">
      <formula>PercentCompleteBeyond</formula>
    </cfRule>
    <cfRule type="expression" dxfId="75" priority="3">
      <formula>Actual</formula>
    </cfRule>
    <cfRule type="expression" dxfId="74" priority="4">
      <formula>ActualBeyond</formula>
    </cfRule>
    <cfRule type="expression" dxfId="73" priority="5">
      <formula>Plan</formula>
    </cfRule>
    <cfRule type="expression" dxfId="72" priority="6">
      <formula>P$8=period_selected</formula>
    </cfRule>
    <cfRule type="expression" dxfId="71" priority="7">
      <formula>MOD(COLUMN(),2)</formula>
    </cfRule>
    <cfRule type="expression" dxfId="70" priority="8">
      <formula>MOD(COLUMN(),2)=0</formula>
    </cfRule>
  </conditionalFormatting>
  <pageMargins left="0.45" right="0.45" top="0.5" bottom="0.5" header="0.3" footer="0.3"/>
  <pageSetup scale="4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Spinner 1">
              <controlPr defaultSize="0" print="0" autoPict="0" altText="Period Highlight Spin Control">
                <anchor moveWithCells="1">
                  <from>
                    <xdr:col>13</xdr:col>
                    <xdr:colOff>63500</xdr:colOff>
                    <xdr:row>2</xdr:row>
                    <xdr:rowOff>25400</xdr:rowOff>
                  </from>
                  <to>
                    <xdr:col>13</xdr:col>
                    <xdr:colOff>203200</xdr:colOff>
                    <xdr:row>3</xdr:row>
                    <xdr:rowOff>50800</xdr:rowOff>
                  </to>
                </anchor>
              </controlPr>
            </control>
          </mc:Choice>
          <mc:Fallback/>
        </mc:AlternateContent>
      </controls>
    </mc:Choice>
    <mc:Fallback/>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B2:BO54"/>
  <sheetViews>
    <sheetView showGridLines="0" tabSelected="1" workbookViewId="0">
      <pane xSplit="6" ySplit="8" topLeftCell="G9" activePane="bottomRight" state="frozen"/>
      <selection pane="topRight" activeCell="H1" sqref="H1"/>
      <selection pane="bottomLeft" activeCell="A9" sqref="A9"/>
      <selection pane="bottomRight" activeCell="B16" sqref="B16"/>
    </sheetView>
  </sheetViews>
  <sheetFormatPr baseColWidth="10" defaultColWidth="2.83203125" defaultRowHeight="16" customHeight="1" x14ac:dyDescent="0.2"/>
  <cols>
    <col min="1" max="1" width="2.6640625" style="42" customWidth="1"/>
    <col min="2" max="2" width="38.6640625" style="47" bestFit="1" customWidth="1"/>
    <col min="3" max="3" width="5.83203125" style="41" bestFit="1" customWidth="1"/>
    <col min="4" max="4" width="9.5" style="41" bestFit="1" customWidth="1"/>
    <col min="5" max="5" width="7.1640625" style="41" hidden="1" customWidth="1"/>
    <col min="6" max="6" width="9.5" style="41" hidden="1" customWidth="1"/>
    <col min="7" max="18" width="7" style="41" customWidth="1"/>
    <col min="19" max="21" width="7" style="41" hidden="1" customWidth="1"/>
    <col min="22" max="26" width="7" style="41" customWidth="1"/>
    <col min="27" max="37" width="7" style="42" customWidth="1"/>
    <col min="38" max="66" width="3" style="42" bestFit="1" customWidth="1"/>
    <col min="67" max="16384" width="2.83203125" style="42"/>
  </cols>
  <sheetData>
    <row r="2" spans="2:67" ht="16" customHeight="1" x14ac:dyDescent="0.2">
      <c r="B2" s="126" t="s">
        <v>152</v>
      </c>
      <c r="C2" s="126"/>
      <c r="D2" s="126"/>
      <c r="E2" s="126"/>
      <c r="F2" s="126"/>
    </row>
    <row r="3" spans="2:67" ht="16" customHeight="1" x14ac:dyDescent="0.2">
      <c r="B3" s="126"/>
      <c r="C3" s="126"/>
      <c r="D3" s="126"/>
      <c r="E3" s="126"/>
      <c r="F3" s="126"/>
      <c r="G3" s="43" t="s">
        <v>153</v>
      </c>
      <c r="H3" s="43"/>
      <c r="I3" s="43"/>
      <c r="J3" s="43"/>
      <c r="K3" s="43"/>
      <c r="L3" s="44">
        <v>16</v>
      </c>
      <c r="M3" s="43"/>
      <c r="O3" s="69"/>
      <c r="P3" s="45" t="s">
        <v>154</v>
      </c>
      <c r="R3" s="70"/>
      <c r="S3" s="45" t="s">
        <v>155</v>
      </c>
      <c r="U3" s="71"/>
      <c r="V3" s="46" t="s">
        <v>251</v>
      </c>
      <c r="AE3" s="41"/>
      <c r="AF3" s="41"/>
      <c r="AG3" s="41"/>
      <c r="AH3" s="41"/>
      <c r="AI3" s="41"/>
      <c r="AJ3" s="41" t="s">
        <v>252</v>
      </c>
      <c r="AK3" s="41"/>
    </row>
    <row r="4" spans="2:67" ht="16" customHeight="1" x14ac:dyDescent="0.2">
      <c r="B4" s="126"/>
      <c r="C4" s="126"/>
      <c r="D4" s="126"/>
      <c r="E4" s="126"/>
      <c r="F4" s="126"/>
      <c r="AR4" s="41"/>
      <c r="AS4" s="41"/>
      <c r="AT4" s="41"/>
      <c r="AU4" s="41"/>
      <c r="AV4" s="41"/>
    </row>
    <row r="5" spans="2:67" ht="16" customHeight="1" x14ac:dyDescent="0.2">
      <c r="AR5" s="41"/>
      <c r="AS5" s="41"/>
      <c r="AT5" s="41"/>
    </row>
    <row r="6" spans="2:67" ht="16" customHeight="1" x14ac:dyDescent="0.2">
      <c r="G6" s="49"/>
      <c r="H6" s="49"/>
      <c r="AR6" s="41"/>
      <c r="AS6" s="41"/>
      <c r="AT6" s="41"/>
    </row>
    <row r="7" spans="2:67" ht="16" customHeight="1" x14ac:dyDescent="0.2">
      <c r="B7" s="127" t="s">
        <v>162</v>
      </c>
      <c r="C7" s="51" t="s">
        <v>159</v>
      </c>
      <c r="D7" s="51" t="s">
        <v>159</v>
      </c>
      <c r="E7" s="51" t="s">
        <v>160</v>
      </c>
      <c r="F7" s="51" t="s">
        <v>160</v>
      </c>
      <c r="G7" s="52">
        <v>42653</v>
      </c>
      <c r="H7" s="52">
        <f>G7+7</f>
        <v>42660</v>
      </c>
      <c r="I7" s="52">
        <f t="shared" ref="I7:AB7" si="0">H7+7</f>
        <v>42667</v>
      </c>
      <c r="J7" s="52">
        <f t="shared" si="0"/>
        <v>42674</v>
      </c>
      <c r="K7" s="52">
        <f t="shared" si="0"/>
        <v>42681</v>
      </c>
      <c r="L7" s="52">
        <f t="shared" si="0"/>
        <v>42688</v>
      </c>
      <c r="M7" s="52">
        <f t="shared" si="0"/>
        <v>42695</v>
      </c>
      <c r="N7" s="52">
        <f t="shared" si="0"/>
        <v>42702</v>
      </c>
      <c r="O7" s="52">
        <f t="shared" si="0"/>
        <v>42709</v>
      </c>
      <c r="P7" s="52">
        <f t="shared" si="0"/>
        <v>42716</v>
      </c>
      <c r="Q7" s="52">
        <f t="shared" si="0"/>
        <v>42723</v>
      </c>
      <c r="R7" s="52">
        <f t="shared" si="0"/>
        <v>42730</v>
      </c>
      <c r="S7" s="52">
        <f t="shared" si="0"/>
        <v>42737</v>
      </c>
      <c r="T7" s="52">
        <f t="shared" si="0"/>
        <v>42744</v>
      </c>
      <c r="U7" s="52">
        <f t="shared" si="0"/>
        <v>42751</v>
      </c>
      <c r="V7" s="52">
        <f t="shared" si="0"/>
        <v>42758</v>
      </c>
      <c r="W7" s="52">
        <f t="shared" si="0"/>
        <v>42765</v>
      </c>
      <c r="X7" s="52">
        <f t="shared" si="0"/>
        <v>42772</v>
      </c>
      <c r="Y7" s="52">
        <f t="shared" si="0"/>
        <v>42779</v>
      </c>
      <c r="Z7" s="52">
        <f t="shared" si="0"/>
        <v>42786</v>
      </c>
      <c r="AA7" s="52">
        <f t="shared" si="0"/>
        <v>42793</v>
      </c>
      <c r="AB7" s="52">
        <f t="shared" si="0"/>
        <v>42800</v>
      </c>
      <c r="AC7" s="52">
        <f t="shared" ref="AC7" si="1">AB7+7</f>
        <v>42807</v>
      </c>
      <c r="AD7" s="52">
        <f t="shared" ref="AD7" si="2">AC7+7</f>
        <v>42814</v>
      </c>
      <c r="AE7" s="52">
        <f t="shared" ref="AE7" si="3">AD7+7</f>
        <v>42821</v>
      </c>
      <c r="AF7" s="52">
        <f>AE7+7</f>
        <v>42828</v>
      </c>
      <c r="AG7" s="52">
        <f t="shared" ref="AG7:AH7" si="4">AF7+7</f>
        <v>42835</v>
      </c>
      <c r="AH7" s="52">
        <f t="shared" si="4"/>
        <v>42842</v>
      </c>
      <c r="AI7" s="52">
        <f t="shared" ref="AI7:AJ7" si="5">AH7+7</f>
        <v>42849</v>
      </c>
      <c r="AJ7" s="52">
        <f t="shared" si="5"/>
        <v>42856</v>
      </c>
      <c r="AK7" s="52">
        <f t="shared" ref="AK7" si="6">AJ7+7</f>
        <v>42863</v>
      </c>
    </row>
    <row r="8" spans="2:67" ht="16" customHeight="1" x14ac:dyDescent="0.2">
      <c r="B8" s="127"/>
      <c r="C8" s="51" t="s">
        <v>163</v>
      </c>
      <c r="D8" s="51" t="s">
        <v>164</v>
      </c>
      <c r="E8" s="51" t="s">
        <v>163</v>
      </c>
      <c r="F8" s="51" t="s">
        <v>164</v>
      </c>
      <c r="G8" s="53">
        <v>1</v>
      </c>
      <c r="H8" s="53">
        <v>2</v>
      </c>
      <c r="I8" s="53">
        <v>3</v>
      </c>
      <c r="J8" s="53">
        <v>4</v>
      </c>
      <c r="K8" s="53">
        <v>5</v>
      </c>
      <c r="L8" s="53">
        <v>6</v>
      </c>
      <c r="M8" s="53">
        <v>7</v>
      </c>
      <c r="N8" s="53">
        <v>8</v>
      </c>
      <c r="O8" s="53">
        <v>9</v>
      </c>
      <c r="P8" s="53">
        <v>10</v>
      </c>
      <c r="Q8" s="53">
        <v>11</v>
      </c>
      <c r="R8" s="53">
        <v>12</v>
      </c>
      <c r="S8" s="53">
        <v>13</v>
      </c>
      <c r="T8" s="53">
        <v>14</v>
      </c>
      <c r="U8" s="53">
        <v>15</v>
      </c>
      <c r="V8" s="50">
        <v>16</v>
      </c>
      <c r="W8" s="53">
        <v>17</v>
      </c>
      <c r="X8" s="53">
        <v>18</v>
      </c>
      <c r="Y8" s="53">
        <v>19</v>
      </c>
      <c r="Z8" s="53">
        <v>20</v>
      </c>
      <c r="AA8" s="53">
        <v>21</v>
      </c>
      <c r="AB8" s="53">
        <v>22</v>
      </c>
      <c r="AC8" s="50">
        <v>23</v>
      </c>
      <c r="AD8" s="50">
        <v>24</v>
      </c>
      <c r="AE8" s="50">
        <v>25</v>
      </c>
      <c r="AF8" s="50">
        <v>26</v>
      </c>
      <c r="AG8" s="50">
        <v>27</v>
      </c>
      <c r="AH8" s="50">
        <v>28</v>
      </c>
      <c r="AI8" s="50">
        <v>29</v>
      </c>
      <c r="AJ8" s="50">
        <v>30</v>
      </c>
      <c r="AK8" s="50">
        <v>31</v>
      </c>
      <c r="AL8" s="50">
        <v>32</v>
      </c>
      <c r="AM8" s="50">
        <v>33</v>
      </c>
      <c r="AN8" s="50">
        <v>34</v>
      </c>
      <c r="AO8" s="50">
        <v>35</v>
      </c>
      <c r="AP8" s="50">
        <v>36</v>
      </c>
      <c r="AQ8" s="50">
        <v>37</v>
      </c>
      <c r="AR8" s="50">
        <v>38</v>
      </c>
      <c r="AS8" s="50">
        <v>39</v>
      </c>
      <c r="AT8" s="50">
        <v>40</v>
      </c>
      <c r="AU8" s="50">
        <v>41</v>
      </c>
      <c r="AV8" s="50">
        <v>42</v>
      </c>
      <c r="AW8" s="50">
        <v>43</v>
      </c>
      <c r="AX8" s="50">
        <v>44</v>
      </c>
      <c r="AY8" s="50">
        <v>45</v>
      </c>
      <c r="AZ8" s="50">
        <v>46</v>
      </c>
      <c r="BA8" s="50">
        <v>47</v>
      </c>
      <c r="BB8" s="50">
        <v>48</v>
      </c>
      <c r="BC8" s="50">
        <v>49</v>
      </c>
      <c r="BD8" s="50">
        <v>50</v>
      </c>
      <c r="BE8" s="50">
        <v>51</v>
      </c>
      <c r="BF8" s="50">
        <v>52</v>
      </c>
      <c r="BG8" s="50">
        <v>53</v>
      </c>
      <c r="BH8" s="50">
        <v>54</v>
      </c>
      <c r="BI8" s="50">
        <v>55</v>
      </c>
      <c r="BJ8" s="50">
        <v>56</v>
      </c>
      <c r="BK8" s="50">
        <v>57</v>
      </c>
      <c r="BL8" s="50">
        <v>58</v>
      </c>
      <c r="BM8" s="50">
        <v>59</v>
      </c>
      <c r="BN8" s="50">
        <v>60</v>
      </c>
      <c r="BO8" s="41"/>
    </row>
    <row r="9" spans="2:67" ht="16" customHeight="1" x14ac:dyDescent="0.2">
      <c r="B9" s="54" t="s">
        <v>236</v>
      </c>
      <c r="C9" s="55">
        <v>1</v>
      </c>
      <c r="D9" s="55">
        <v>6</v>
      </c>
      <c r="E9" s="55"/>
      <c r="F9" s="55"/>
      <c r="G9" s="56"/>
      <c r="H9" s="56"/>
      <c r="I9" s="56"/>
      <c r="J9" s="56"/>
      <c r="K9" s="56"/>
      <c r="L9" s="56"/>
      <c r="M9" s="56"/>
      <c r="N9" s="56"/>
      <c r="O9" s="56"/>
      <c r="P9" s="56"/>
      <c r="Q9" s="56"/>
      <c r="R9" s="66"/>
      <c r="S9" s="56"/>
      <c r="T9" s="56"/>
      <c r="U9" s="56"/>
      <c r="V9" s="42"/>
      <c r="W9" s="56"/>
      <c r="X9" s="56"/>
      <c r="Y9" s="56"/>
      <c r="Z9" s="56"/>
      <c r="AA9" s="57"/>
      <c r="AB9" s="57"/>
    </row>
    <row r="10" spans="2:67" ht="16" customHeight="1" x14ac:dyDescent="0.2">
      <c r="B10" s="58" t="s">
        <v>267</v>
      </c>
      <c r="C10" s="55">
        <v>1</v>
      </c>
      <c r="D10" s="55">
        <v>6</v>
      </c>
      <c r="E10" s="55"/>
      <c r="F10" s="55"/>
      <c r="G10" s="56"/>
      <c r="H10" s="56"/>
      <c r="I10" s="56"/>
      <c r="J10" s="56"/>
      <c r="K10" s="56"/>
      <c r="L10" s="56"/>
      <c r="M10" s="56"/>
      <c r="N10" s="56"/>
      <c r="O10" s="56"/>
      <c r="P10" s="56"/>
      <c r="Q10" s="56"/>
      <c r="R10" s="67"/>
      <c r="S10" s="56"/>
      <c r="T10" s="56"/>
      <c r="U10" s="56"/>
      <c r="V10" s="42"/>
      <c r="W10" s="56"/>
      <c r="X10" s="56"/>
      <c r="Y10" s="56"/>
      <c r="Z10" s="56"/>
      <c r="AA10" s="57"/>
      <c r="AB10" s="57"/>
    </row>
    <row r="11" spans="2:67" ht="16" customHeight="1" x14ac:dyDescent="0.2">
      <c r="B11" s="59" t="s">
        <v>243</v>
      </c>
      <c r="C11" s="55">
        <v>1</v>
      </c>
      <c r="D11" s="55">
        <v>6</v>
      </c>
      <c r="E11" s="55"/>
      <c r="F11" s="55"/>
      <c r="G11" s="56"/>
      <c r="H11" s="56"/>
      <c r="I11" s="56"/>
      <c r="J11" s="56"/>
      <c r="K11" s="56"/>
      <c r="L11" s="56"/>
      <c r="M11" s="56"/>
      <c r="N11" s="56"/>
      <c r="O11" s="56"/>
      <c r="P11" s="56"/>
      <c r="Q11" s="56"/>
      <c r="R11" s="67"/>
      <c r="S11" s="56"/>
      <c r="T11" s="56"/>
      <c r="U11" s="56"/>
      <c r="V11" s="42"/>
      <c r="W11" s="56"/>
      <c r="X11" s="56"/>
      <c r="Y11" s="56"/>
      <c r="Z11" s="56"/>
      <c r="AA11" s="57"/>
      <c r="AB11" s="57"/>
    </row>
    <row r="12" spans="2:67" ht="16" customHeight="1" x14ac:dyDescent="0.2">
      <c r="B12" s="59" t="s">
        <v>220</v>
      </c>
      <c r="C12" s="55">
        <v>6</v>
      </c>
      <c r="D12" s="55">
        <v>1</v>
      </c>
      <c r="E12" s="55"/>
      <c r="F12" s="55"/>
      <c r="G12" s="56"/>
      <c r="H12" s="56"/>
      <c r="I12" s="56"/>
      <c r="J12" s="56"/>
      <c r="K12" s="56"/>
      <c r="L12" s="56"/>
      <c r="M12" s="56"/>
      <c r="N12" s="56"/>
      <c r="O12" s="56"/>
      <c r="P12" s="56"/>
      <c r="Q12" s="56"/>
      <c r="R12" s="67"/>
      <c r="S12" s="56"/>
      <c r="T12" s="56"/>
      <c r="U12" s="56"/>
      <c r="V12" s="42"/>
      <c r="W12" s="56"/>
      <c r="X12" s="56"/>
      <c r="Y12" s="56"/>
      <c r="Z12" s="56"/>
      <c r="AA12" s="57"/>
      <c r="AB12" s="57"/>
    </row>
    <row r="13" spans="2:67" ht="16" customHeight="1" x14ac:dyDescent="0.2">
      <c r="B13" s="59" t="s">
        <v>299</v>
      </c>
      <c r="C13" s="55">
        <v>6</v>
      </c>
      <c r="D13" s="55">
        <v>1</v>
      </c>
      <c r="E13" s="55"/>
      <c r="F13" s="55"/>
      <c r="G13" s="56"/>
      <c r="H13" s="56"/>
      <c r="I13" s="56"/>
      <c r="J13" s="56"/>
      <c r="K13" s="56"/>
      <c r="L13" s="56"/>
      <c r="M13" s="56"/>
      <c r="N13" s="56"/>
      <c r="O13" s="56"/>
      <c r="P13" s="56"/>
      <c r="Q13" s="56"/>
      <c r="R13" s="67"/>
      <c r="S13" s="56"/>
      <c r="T13" s="56"/>
      <c r="U13" s="56"/>
      <c r="V13" s="42"/>
      <c r="W13" s="56"/>
      <c r="X13" s="56"/>
      <c r="Y13" s="56"/>
      <c r="Z13" s="56"/>
      <c r="AA13" s="57"/>
      <c r="AB13" s="57"/>
    </row>
    <row r="14" spans="2:67" ht="16" customHeight="1" x14ac:dyDescent="0.2">
      <c r="B14" s="58" t="s">
        <v>247</v>
      </c>
      <c r="C14" s="55">
        <v>16</v>
      </c>
      <c r="D14" s="55">
        <v>3</v>
      </c>
      <c r="E14" s="55"/>
      <c r="F14" s="55"/>
      <c r="G14" s="56"/>
      <c r="H14" s="56"/>
      <c r="I14" s="56"/>
      <c r="J14" s="56"/>
      <c r="K14" s="56"/>
      <c r="L14" s="56"/>
      <c r="M14" s="56"/>
      <c r="N14" s="56"/>
      <c r="O14" s="56"/>
      <c r="P14" s="56"/>
      <c r="Q14" s="56"/>
      <c r="R14" s="67"/>
      <c r="S14" s="56"/>
      <c r="T14" s="56"/>
      <c r="U14" s="56"/>
      <c r="V14" s="42"/>
      <c r="W14" s="56"/>
      <c r="X14" s="56"/>
      <c r="Y14" s="56"/>
      <c r="Z14" s="56"/>
      <c r="AA14" s="57"/>
      <c r="AB14" s="57"/>
    </row>
    <row r="15" spans="2:67" ht="16" customHeight="1" x14ac:dyDescent="0.2">
      <c r="B15" s="59" t="s">
        <v>242</v>
      </c>
      <c r="C15" s="55">
        <v>16</v>
      </c>
      <c r="D15" s="55">
        <v>1</v>
      </c>
      <c r="E15" s="55"/>
      <c r="F15" s="55"/>
      <c r="G15" s="56"/>
      <c r="H15" s="56"/>
      <c r="I15" s="56"/>
      <c r="J15" s="56"/>
      <c r="K15" s="56"/>
      <c r="L15" s="56"/>
      <c r="M15" s="56"/>
      <c r="N15" s="56"/>
      <c r="O15" s="56"/>
      <c r="P15" s="56"/>
      <c r="Q15" s="56"/>
      <c r="R15" s="67"/>
      <c r="S15" s="56"/>
      <c r="T15" s="56"/>
      <c r="U15" s="56"/>
      <c r="V15" s="42"/>
      <c r="W15" s="56"/>
      <c r="X15" s="56"/>
      <c r="Y15" s="56"/>
      <c r="Z15" s="56"/>
      <c r="AA15" s="57"/>
      <c r="AB15" s="57"/>
    </row>
    <row r="16" spans="2:67" ht="16" customHeight="1" x14ac:dyDescent="0.2">
      <c r="B16" s="59" t="s">
        <v>300</v>
      </c>
      <c r="C16" s="55">
        <v>16</v>
      </c>
      <c r="D16" s="55">
        <v>2</v>
      </c>
      <c r="E16" s="55"/>
      <c r="F16" s="55"/>
      <c r="G16" s="56"/>
      <c r="H16" s="56"/>
      <c r="I16" s="56"/>
      <c r="J16" s="56"/>
      <c r="K16" s="56"/>
      <c r="L16" s="56"/>
      <c r="M16" s="56"/>
      <c r="N16" s="56"/>
      <c r="O16" s="56"/>
      <c r="P16" s="56"/>
      <c r="Q16" s="56"/>
      <c r="R16" s="67"/>
      <c r="S16" s="56"/>
      <c r="T16" s="56"/>
      <c r="U16" s="56"/>
      <c r="V16" s="42"/>
      <c r="W16" s="56"/>
      <c r="X16" s="56"/>
      <c r="Y16" s="56"/>
      <c r="Z16" s="56"/>
      <c r="AA16" s="57"/>
      <c r="AB16" s="57"/>
    </row>
    <row r="17" spans="2:28" ht="16" customHeight="1" x14ac:dyDescent="0.2">
      <c r="B17" s="59" t="s">
        <v>191</v>
      </c>
      <c r="C17" s="55">
        <v>16</v>
      </c>
      <c r="D17" s="55">
        <v>2</v>
      </c>
      <c r="E17" s="55"/>
      <c r="F17" s="55"/>
      <c r="G17" s="56"/>
      <c r="H17" s="56"/>
      <c r="I17" s="56"/>
      <c r="J17" s="56"/>
      <c r="K17" s="56"/>
      <c r="L17" s="56"/>
      <c r="M17" s="56"/>
      <c r="N17" s="56"/>
      <c r="O17" s="56"/>
      <c r="P17" s="56"/>
      <c r="Q17" s="56"/>
      <c r="R17" s="67"/>
      <c r="S17" s="56"/>
      <c r="T17" s="56"/>
      <c r="U17" s="56"/>
      <c r="V17" s="42"/>
      <c r="W17" s="56"/>
      <c r="X17" s="56"/>
      <c r="Y17" s="56"/>
      <c r="Z17" s="56"/>
      <c r="AA17" s="57"/>
      <c r="AB17" s="57"/>
    </row>
    <row r="18" spans="2:28" ht="16" customHeight="1" x14ac:dyDescent="0.2">
      <c r="B18" s="59" t="s">
        <v>302</v>
      </c>
      <c r="C18" s="55">
        <v>16</v>
      </c>
      <c r="D18" s="55">
        <v>1</v>
      </c>
      <c r="E18" s="55"/>
      <c r="F18" s="55"/>
      <c r="G18" s="56"/>
      <c r="H18" s="56"/>
      <c r="I18" s="56"/>
      <c r="J18" s="56"/>
      <c r="K18" s="56"/>
      <c r="L18" s="56"/>
      <c r="M18" s="56"/>
      <c r="N18" s="56"/>
      <c r="O18" s="56"/>
      <c r="P18" s="56"/>
      <c r="Q18" s="56"/>
      <c r="R18" s="67"/>
      <c r="S18" s="56"/>
      <c r="T18" s="56"/>
      <c r="U18" s="56"/>
      <c r="V18" s="42"/>
      <c r="W18" s="56"/>
      <c r="X18" s="56"/>
      <c r="Y18" s="56"/>
      <c r="Z18" s="56"/>
      <c r="AA18" s="57"/>
      <c r="AB18" s="57"/>
    </row>
    <row r="19" spans="2:28" ht="16" customHeight="1" x14ac:dyDescent="0.2">
      <c r="B19" s="58" t="s">
        <v>257</v>
      </c>
      <c r="C19" s="55">
        <v>16</v>
      </c>
      <c r="D19" s="55">
        <v>2</v>
      </c>
      <c r="E19" s="55"/>
      <c r="F19" s="55"/>
      <c r="G19" s="56"/>
      <c r="H19" s="56"/>
      <c r="I19" s="56"/>
      <c r="J19" s="56"/>
      <c r="K19" s="56"/>
      <c r="L19" s="56"/>
      <c r="M19" s="56"/>
      <c r="N19" s="56"/>
      <c r="O19" s="56"/>
      <c r="P19" s="56"/>
      <c r="Q19" s="56"/>
      <c r="R19" s="67"/>
      <c r="S19" s="56"/>
      <c r="T19" s="56"/>
      <c r="U19" s="56"/>
      <c r="V19" s="42"/>
      <c r="W19" s="56"/>
      <c r="X19" s="56"/>
      <c r="Y19" s="56"/>
      <c r="Z19" s="56"/>
      <c r="AA19" s="57"/>
      <c r="AB19" s="57"/>
    </row>
    <row r="20" spans="2:28" ht="16" customHeight="1" x14ac:dyDescent="0.2">
      <c r="B20" s="59" t="s">
        <v>240</v>
      </c>
      <c r="C20" s="55">
        <v>16</v>
      </c>
      <c r="D20" s="55">
        <v>2</v>
      </c>
      <c r="E20" s="55"/>
      <c r="F20" s="55"/>
      <c r="G20" s="56"/>
      <c r="H20" s="56"/>
      <c r="I20" s="56"/>
      <c r="J20" s="56"/>
      <c r="K20" s="56"/>
      <c r="L20" s="56"/>
      <c r="M20" s="56"/>
      <c r="N20" s="56"/>
      <c r="O20" s="56"/>
      <c r="P20" s="56"/>
      <c r="Q20" s="56"/>
      <c r="R20" s="67"/>
      <c r="S20" s="56"/>
      <c r="T20" s="56"/>
      <c r="U20" s="56"/>
      <c r="V20" s="42"/>
      <c r="W20" s="56"/>
      <c r="X20" s="56"/>
      <c r="Y20" s="56"/>
      <c r="Z20" s="56"/>
      <c r="AA20" s="57"/>
      <c r="AB20" s="57"/>
    </row>
    <row r="21" spans="2:28" ht="16" customHeight="1" x14ac:dyDescent="0.2">
      <c r="B21" s="59" t="s">
        <v>246</v>
      </c>
      <c r="C21" s="55">
        <v>16</v>
      </c>
      <c r="D21" s="55">
        <v>1</v>
      </c>
      <c r="E21" s="55"/>
      <c r="F21" s="55"/>
      <c r="G21" s="56"/>
      <c r="H21" s="56"/>
      <c r="I21" s="56"/>
      <c r="J21" s="56"/>
      <c r="K21" s="56"/>
      <c r="L21" s="56"/>
      <c r="M21" s="56"/>
      <c r="N21" s="56"/>
      <c r="O21" s="56"/>
      <c r="P21" s="56"/>
      <c r="Q21" s="56"/>
      <c r="R21" s="67"/>
      <c r="S21" s="56"/>
      <c r="T21" s="56"/>
      <c r="U21" s="56"/>
      <c r="V21" s="42"/>
      <c r="W21" s="56"/>
      <c r="X21" s="56"/>
      <c r="Y21" s="56"/>
      <c r="Z21" s="56"/>
      <c r="AA21" s="57"/>
      <c r="AB21" s="57"/>
    </row>
    <row r="22" spans="2:28" ht="16" customHeight="1" x14ac:dyDescent="0.2">
      <c r="B22" s="59" t="s">
        <v>241</v>
      </c>
      <c r="C22" s="55">
        <v>16</v>
      </c>
      <c r="D22" s="55">
        <v>2</v>
      </c>
      <c r="E22" s="55"/>
      <c r="F22" s="55"/>
      <c r="G22" s="56"/>
      <c r="H22" s="56"/>
      <c r="I22" s="56"/>
      <c r="J22" s="56"/>
      <c r="K22" s="56"/>
      <c r="L22" s="56"/>
      <c r="M22" s="56"/>
      <c r="N22" s="56"/>
      <c r="O22" s="56"/>
      <c r="P22" s="56"/>
      <c r="Q22" s="56"/>
      <c r="R22" s="67"/>
      <c r="S22" s="56"/>
      <c r="T22" s="56"/>
      <c r="U22" s="56"/>
      <c r="V22" s="42"/>
      <c r="W22" s="56"/>
      <c r="X22" s="56"/>
      <c r="Y22" s="56"/>
      <c r="Z22" s="56"/>
      <c r="AA22" s="57"/>
      <c r="AB22" s="57"/>
    </row>
    <row r="23" spans="2:28" ht="16" customHeight="1" x14ac:dyDescent="0.2">
      <c r="B23" s="59" t="s">
        <v>290</v>
      </c>
      <c r="C23" s="55">
        <v>11</v>
      </c>
      <c r="D23" s="55">
        <v>1</v>
      </c>
      <c r="E23" s="55"/>
      <c r="F23" s="55"/>
      <c r="G23" s="56"/>
      <c r="H23" s="56"/>
      <c r="I23" s="56"/>
      <c r="J23" s="56"/>
      <c r="K23" s="56"/>
      <c r="L23" s="56"/>
      <c r="M23" s="56"/>
      <c r="N23" s="56"/>
      <c r="O23" s="56"/>
      <c r="P23" s="56"/>
      <c r="Q23" s="56"/>
      <c r="R23" s="67"/>
      <c r="S23" s="56"/>
      <c r="T23" s="56"/>
      <c r="U23" s="56"/>
      <c r="V23" s="42"/>
      <c r="W23" s="56"/>
      <c r="X23" s="56"/>
      <c r="Y23" s="56"/>
      <c r="Z23" s="56"/>
      <c r="AA23" s="57"/>
      <c r="AB23" s="57"/>
    </row>
    <row r="24" spans="2:28" ht="16" customHeight="1" x14ac:dyDescent="0.2">
      <c r="B24" s="59"/>
      <c r="C24" s="55"/>
      <c r="D24" s="55"/>
      <c r="E24" s="55"/>
      <c r="F24" s="55"/>
      <c r="G24" s="56"/>
      <c r="H24" s="56"/>
      <c r="I24" s="56"/>
      <c r="J24" s="56"/>
      <c r="K24" s="56"/>
      <c r="L24" s="56"/>
      <c r="M24" s="56"/>
      <c r="N24" s="56"/>
      <c r="O24" s="56"/>
      <c r="P24" s="56"/>
      <c r="Q24" s="56"/>
      <c r="R24" s="67"/>
      <c r="S24" s="56"/>
      <c r="T24" s="56"/>
      <c r="U24" s="56"/>
      <c r="V24" s="42"/>
      <c r="W24" s="56"/>
      <c r="X24" s="56"/>
      <c r="Y24" s="56"/>
      <c r="Z24" s="56"/>
      <c r="AA24" s="57"/>
      <c r="AB24" s="57"/>
    </row>
    <row r="25" spans="2:28" ht="16" customHeight="1" x14ac:dyDescent="0.2">
      <c r="B25" s="61" t="s">
        <v>237</v>
      </c>
      <c r="C25" s="55">
        <v>7</v>
      </c>
      <c r="D25" s="55">
        <v>22</v>
      </c>
      <c r="E25" s="55"/>
      <c r="F25" s="55"/>
      <c r="G25" s="56"/>
      <c r="H25" s="56"/>
      <c r="I25" s="56"/>
      <c r="J25" s="56"/>
      <c r="K25" s="56"/>
      <c r="L25" s="56"/>
      <c r="M25" s="56"/>
      <c r="N25" s="56"/>
      <c r="O25" s="56"/>
      <c r="P25" s="56"/>
      <c r="Q25" s="56"/>
      <c r="R25" s="67"/>
      <c r="S25" s="56"/>
      <c r="T25" s="56"/>
      <c r="U25" s="56"/>
      <c r="V25" s="42"/>
      <c r="W25" s="56"/>
      <c r="X25" s="56"/>
      <c r="Y25" s="56"/>
      <c r="Z25" s="56"/>
      <c r="AA25" s="57"/>
      <c r="AB25" s="57"/>
    </row>
    <row r="26" spans="2:28" ht="16" customHeight="1" x14ac:dyDescent="0.2">
      <c r="B26" s="62" t="s">
        <v>258</v>
      </c>
      <c r="C26" s="55">
        <v>7</v>
      </c>
      <c r="D26" s="55">
        <v>22</v>
      </c>
      <c r="E26" s="55"/>
      <c r="F26" s="55"/>
      <c r="G26" s="56"/>
      <c r="H26" s="56"/>
      <c r="I26" s="56"/>
      <c r="J26" s="56"/>
      <c r="K26" s="56"/>
      <c r="L26" s="56"/>
      <c r="M26" s="56"/>
      <c r="N26" s="56"/>
      <c r="O26" s="56"/>
      <c r="P26" s="56"/>
      <c r="Q26" s="56"/>
      <c r="R26" s="67"/>
      <c r="S26" s="56"/>
      <c r="T26" s="56"/>
      <c r="U26" s="56"/>
      <c r="V26" s="42"/>
      <c r="W26" s="56"/>
      <c r="X26" s="56"/>
      <c r="Y26" s="56"/>
      <c r="Z26" s="56"/>
      <c r="AA26" s="57"/>
      <c r="AB26" s="57"/>
    </row>
    <row r="27" spans="2:28" ht="16" customHeight="1" x14ac:dyDescent="0.2">
      <c r="B27" s="59" t="s">
        <v>253</v>
      </c>
      <c r="C27" s="55">
        <v>7</v>
      </c>
      <c r="D27" s="55">
        <v>1</v>
      </c>
      <c r="E27" s="55"/>
      <c r="F27" s="55"/>
      <c r="G27" s="56"/>
      <c r="H27" s="56"/>
      <c r="I27" s="56"/>
      <c r="J27" s="56"/>
      <c r="K27" s="56"/>
      <c r="L27" s="56"/>
      <c r="M27" s="56"/>
      <c r="N27" s="56"/>
      <c r="O27" s="56"/>
      <c r="P27" s="56"/>
      <c r="Q27" s="56"/>
      <c r="R27" s="67"/>
      <c r="S27" s="56"/>
      <c r="T27" s="56"/>
      <c r="U27" s="56"/>
      <c r="V27" s="42"/>
      <c r="W27" s="56"/>
      <c r="X27" s="56"/>
      <c r="Y27" s="56"/>
      <c r="Z27" s="56"/>
      <c r="AA27" s="57"/>
      <c r="AB27" s="57"/>
    </row>
    <row r="28" spans="2:28" ht="16" customHeight="1" x14ac:dyDescent="0.2">
      <c r="B28" s="60" t="s">
        <v>248</v>
      </c>
      <c r="C28" s="55">
        <v>7</v>
      </c>
      <c r="D28" s="55">
        <v>2</v>
      </c>
      <c r="E28" s="55"/>
      <c r="F28" s="55"/>
      <c r="G28" s="56"/>
      <c r="H28" s="56"/>
      <c r="I28" s="56"/>
      <c r="J28" s="56"/>
      <c r="K28" s="56"/>
      <c r="L28" s="56"/>
      <c r="M28" s="56"/>
      <c r="N28" s="56"/>
      <c r="O28" s="56"/>
      <c r="P28" s="56"/>
      <c r="Q28" s="56"/>
      <c r="R28" s="67"/>
      <c r="S28" s="56"/>
      <c r="T28" s="56"/>
      <c r="U28" s="56"/>
      <c r="V28" s="42"/>
      <c r="W28" s="56"/>
      <c r="X28" s="56"/>
      <c r="Y28" s="56"/>
      <c r="Z28" s="56"/>
      <c r="AA28" s="57"/>
      <c r="AB28" s="57"/>
    </row>
    <row r="29" spans="2:28" ht="16" customHeight="1" x14ac:dyDescent="0.2">
      <c r="B29" s="60" t="s">
        <v>249</v>
      </c>
      <c r="C29" s="55">
        <v>8</v>
      </c>
      <c r="D29" s="55">
        <v>1</v>
      </c>
      <c r="E29" s="55"/>
      <c r="F29" s="55"/>
      <c r="G29" s="56"/>
      <c r="H29" s="56"/>
      <c r="I29" s="56"/>
      <c r="J29" s="56"/>
      <c r="K29" s="56"/>
      <c r="L29" s="56"/>
      <c r="M29" s="56"/>
      <c r="N29" s="56"/>
      <c r="O29" s="56"/>
      <c r="P29" s="56"/>
      <c r="Q29" s="56"/>
      <c r="R29" s="67"/>
      <c r="S29" s="56"/>
      <c r="T29" s="56"/>
      <c r="U29" s="56"/>
      <c r="V29" s="42"/>
      <c r="W29" s="56"/>
      <c r="X29" s="56"/>
      <c r="Y29" s="56"/>
      <c r="Z29" s="56"/>
      <c r="AA29" s="57"/>
      <c r="AB29" s="57"/>
    </row>
    <row r="30" spans="2:28" ht="16" customHeight="1" x14ac:dyDescent="0.2">
      <c r="B30" s="59" t="s">
        <v>333</v>
      </c>
      <c r="C30" s="55">
        <v>17</v>
      </c>
      <c r="D30" s="55">
        <v>4</v>
      </c>
      <c r="E30" s="55"/>
      <c r="F30" s="55"/>
      <c r="G30" s="56"/>
      <c r="H30" s="56"/>
      <c r="I30" s="56"/>
      <c r="J30" s="56"/>
      <c r="K30" s="56"/>
      <c r="L30" s="56"/>
      <c r="M30" s="56"/>
      <c r="N30" s="56"/>
      <c r="O30" s="56"/>
      <c r="P30" s="56"/>
      <c r="Q30" s="56"/>
      <c r="R30" s="67"/>
      <c r="S30" s="56"/>
      <c r="T30" s="56"/>
      <c r="U30" s="56"/>
      <c r="V30" s="42"/>
      <c r="W30" s="56"/>
      <c r="X30" s="56"/>
      <c r="Y30" s="56"/>
      <c r="Z30" s="56"/>
      <c r="AA30" s="57"/>
      <c r="AB30" s="57"/>
    </row>
    <row r="31" spans="2:28" ht="16" customHeight="1" x14ac:dyDescent="0.2">
      <c r="B31" s="60" t="s">
        <v>334</v>
      </c>
      <c r="C31" s="55">
        <v>17</v>
      </c>
      <c r="D31" s="55">
        <v>2</v>
      </c>
      <c r="E31" s="55"/>
      <c r="F31" s="55"/>
      <c r="G31" s="56"/>
      <c r="H31" s="56"/>
      <c r="I31" s="56"/>
      <c r="J31" s="56"/>
      <c r="K31" s="56"/>
      <c r="L31" s="56"/>
      <c r="M31" s="56"/>
      <c r="N31" s="56"/>
      <c r="O31" s="56"/>
      <c r="P31" s="56"/>
      <c r="Q31" s="56"/>
      <c r="R31" s="67"/>
      <c r="S31" s="56"/>
      <c r="T31" s="56"/>
      <c r="U31" s="56"/>
      <c r="V31" s="42"/>
      <c r="W31" s="56"/>
      <c r="X31" s="56"/>
      <c r="Y31" s="56"/>
      <c r="Z31" s="56"/>
      <c r="AA31" s="57"/>
      <c r="AB31" s="57"/>
    </row>
    <row r="32" spans="2:28" ht="16" customHeight="1" x14ac:dyDescent="0.2">
      <c r="B32" s="60" t="s">
        <v>335</v>
      </c>
      <c r="C32" s="55">
        <v>18</v>
      </c>
      <c r="D32" s="55">
        <v>2</v>
      </c>
      <c r="E32" s="55"/>
      <c r="F32" s="55"/>
      <c r="G32" s="56"/>
      <c r="H32" s="56"/>
      <c r="I32" s="56"/>
      <c r="J32" s="56"/>
      <c r="K32" s="56"/>
      <c r="L32" s="56"/>
      <c r="M32" s="56"/>
      <c r="N32" s="56"/>
      <c r="O32" s="56"/>
      <c r="P32" s="56"/>
      <c r="Q32" s="56"/>
      <c r="R32" s="67"/>
      <c r="S32" s="56"/>
      <c r="T32" s="56"/>
      <c r="U32" s="56"/>
      <c r="V32" s="42"/>
      <c r="W32" s="56"/>
      <c r="X32" s="56"/>
      <c r="Y32" s="56"/>
      <c r="Z32" s="56"/>
      <c r="AA32" s="57"/>
      <c r="AB32" s="57"/>
    </row>
    <row r="33" spans="2:28" ht="16" customHeight="1" x14ac:dyDescent="0.2">
      <c r="B33" s="60" t="s">
        <v>336</v>
      </c>
      <c r="C33" s="55">
        <v>19</v>
      </c>
      <c r="D33" s="55">
        <v>2</v>
      </c>
      <c r="E33" s="55"/>
      <c r="F33" s="55"/>
      <c r="G33" s="56"/>
      <c r="H33" s="56"/>
      <c r="I33" s="56"/>
      <c r="J33" s="56"/>
      <c r="K33" s="56"/>
      <c r="L33" s="56"/>
      <c r="M33" s="56"/>
      <c r="N33" s="56"/>
      <c r="O33" s="56"/>
      <c r="P33" s="56"/>
      <c r="Q33" s="56"/>
      <c r="R33" s="67"/>
      <c r="S33" s="56"/>
      <c r="T33" s="56"/>
      <c r="U33" s="56"/>
      <c r="V33" s="42"/>
      <c r="W33" s="56"/>
      <c r="X33" s="56"/>
      <c r="Y33" s="56"/>
      <c r="Z33" s="56"/>
      <c r="AA33" s="57"/>
      <c r="AB33" s="57"/>
    </row>
    <row r="34" spans="2:28" ht="16" customHeight="1" x14ac:dyDescent="0.2">
      <c r="B34" s="60" t="s">
        <v>337</v>
      </c>
      <c r="C34" s="55">
        <v>20</v>
      </c>
      <c r="D34" s="55">
        <v>1</v>
      </c>
      <c r="E34" s="55"/>
      <c r="F34" s="55"/>
      <c r="G34" s="56"/>
      <c r="H34" s="56"/>
      <c r="I34" s="56"/>
      <c r="J34" s="56"/>
      <c r="K34" s="56"/>
      <c r="L34" s="56"/>
      <c r="M34" s="56"/>
      <c r="N34" s="56"/>
      <c r="O34" s="56"/>
      <c r="P34" s="56"/>
      <c r="Q34" s="56"/>
      <c r="R34" s="67"/>
      <c r="S34" s="56"/>
      <c r="T34" s="56"/>
      <c r="U34" s="56"/>
      <c r="V34" s="42"/>
      <c r="W34" s="56"/>
      <c r="X34" s="56"/>
      <c r="Y34" s="56"/>
      <c r="Z34" s="56"/>
      <c r="AA34" s="57"/>
      <c r="AB34" s="57"/>
    </row>
    <row r="35" spans="2:28" ht="16" customHeight="1" x14ac:dyDescent="0.2">
      <c r="B35" s="60" t="s">
        <v>250</v>
      </c>
      <c r="C35" s="55">
        <v>17</v>
      </c>
      <c r="D35" s="55">
        <v>4</v>
      </c>
      <c r="E35" s="55"/>
      <c r="F35" s="55"/>
      <c r="G35" s="56"/>
      <c r="H35" s="56"/>
      <c r="I35" s="56"/>
      <c r="J35" s="56"/>
      <c r="K35" s="56"/>
      <c r="L35" s="56"/>
      <c r="M35" s="56"/>
      <c r="N35" s="56"/>
      <c r="O35" s="56"/>
      <c r="P35" s="56"/>
      <c r="Q35" s="56"/>
      <c r="R35" s="67"/>
      <c r="S35" s="56"/>
      <c r="T35" s="56"/>
      <c r="U35" s="56"/>
      <c r="V35" s="42"/>
      <c r="W35" s="56"/>
      <c r="X35" s="56"/>
      <c r="Y35" s="56"/>
      <c r="Z35" s="56"/>
      <c r="AA35" s="57"/>
      <c r="AB35" s="57"/>
    </row>
    <row r="36" spans="2:28" ht="16" customHeight="1" x14ac:dyDescent="0.2">
      <c r="B36" s="60" t="s">
        <v>254</v>
      </c>
      <c r="C36" s="55">
        <v>20</v>
      </c>
      <c r="D36" s="55">
        <v>2</v>
      </c>
      <c r="E36" s="55"/>
      <c r="F36" s="55"/>
      <c r="G36" s="56"/>
      <c r="H36" s="56"/>
      <c r="I36" s="56"/>
      <c r="J36" s="56"/>
      <c r="K36" s="56"/>
      <c r="L36" s="56"/>
      <c r="M36" s="56"/>
      <c r="N36" s="56"/>
      <c r="O36" s="56"/>
      <c r="P36" s="56"/>
      <c r="Q36" s="56"/>
      <c r="R36" s="67"/>
      <c r="S36" s="56"/>
      <c r="T36" s="56"/>
      <c r="U36" s="56"/>
      <c r="V36" s="42"/>
      <c r="W36" s="56"/>
      <c r="X36" s="56"/>
      <c r="Y36" s="56"/>
      <c r="Z36" s="56"/>
      <c r="AA36" s="57"/>
      <c r="AB36" s="57"/>
    </row>
    <row r="37" spans="2:28" ht="16" customHeight="1" x14ac:dyDescent="0.2">
      <c r="B37" s="59" t="s">
        <v>291</v>
      </c>
      <c r="C37" s="55">
        <v>21</v>
      </c>
      <c r="D37" s="55">
        <v>5</v>
      </c>
      <c r="E37" s="55"/>
      <c r="F37" s="55"/>
      <c r="G37" s="56"/>
      <c r="H37" s="56"/>
      <c r="I37" s="56"/>
      <c r="J37" s="56"/>
      <c r="K37" s="56"/>
      <c r="L37" s="56"/>
      <c r="M37" s="56"/>
      <c r="N37" s="56"/>
      <c r="O37" s="56"/>
      <c r="P37" s="56"/>
      <c r="Q37" s="56"/>
      <c r="R37" s="67"/>
      <c r="S37" s="56"/>
      <c r="T37" s="56"/>
      <c r="U37" s="56"/>
      <c r="V37" s="42"/>
      <c r="W37" s="56"/>
      <c r="X37" s="56"/>
      <c r="Y37" s="56"/>
      <c r="Z37" s="56"/>
      <c r="AA37" s="57"/>
      <c r="AB37" s="57"/>
    </row>
    <row r="38" spans="2:28" ht="16" customHeight="1" x14ac:dyDescent="0.2">
      <c r="B38" s="60" t="s">
        <v>355</v>
      </c>
      <c r="C38" s="55">
        <v>21</v>
      </c>
      <c r="D38" s="55">
        <v>2</v>
      </c>
      <c r="E38" s="55"/>
      <c r="F38" s="55"/>
      <c r="G38" s="56"/>
      <c r="H38" s="56"/>
      <c r="I38" s="56"/>
      <c r="J38" s="56"/>
      <c r="K38" s="56"/>
      <c r="L38" s="56"/>
      <c r="M38" s="56"/>
      <c r="N38" s="56"/>
      <c r="O38" s="56"/>
      <c r="P38" s="56"/>
      <c r="Q38" s="56"/>
      <c r="R38" s="67"/>
      <c r="S38" s="56"/>
      <c r="T38" s="56"/>
      <c r="U38" s="56"/>
      <c r="V38" s="42"/>
      <c r="W38" s="56"/>
      <c r="X38" s="56"/>
      <c r="Y38" s="56"/>
      <c r="Z38" s="56"/>
      <c r="AA38" s="57"/>
      <c r="AB38" s="57"/>
    </row>
    <row r="39" spans="2:28" ht="16" customHeight="1" x14ac:dyDescent="0.2">
      <c r="B39" s="60" t="s">
        <v>356</v>
      </c>
      <c r="C39" s="55">
        <v>22</v>
      </c>
      <c r="D39" s="55">
        <v>3</v>
      </c>
      <c r="E39" s="55"/>
      <c r="F39" s="55"/>
      <c r="G39" s="56"/>
      <c r="H39" s="56"/>
      <c r="I39" s="56"/>
      <c r="J39" s="56"/>
      <c r="K39" s="56"/>
      <c r="L39" s="56"/>
      <c r="M39" s="56"/>
      <c r="N39" s="56"/>
      <c r="O39" s="56"/>
      <c r="P39" s="56"/>
      <c r="Q39" s="56"/>
      <c r="R39" s="67"/>
      <c r="S39" s="56"/>
      <c r="T39" s="56"/>
      <c r="U39" s="56"/>
      <c r="V39" s="42"/>
      <c r="W39" s="56"/>
      <c r="X39" s="56"/>
      <c r="Y39" s="56"/>
      <c r="Z39" s="56"/>
      <c r="AA39" s="57"/>
      <c r="AB39" s="57"/>
    </row>
    <row r="40" spans="2:28" ht="16" customHeight="1" x14ac:dyDescent="0.2">
      <c r="B40" s="60" t="s">
        <v>288</v>
      </c>
      <c r="C40" s="55">
        <v>24</v>
      </c>
      <c r="D40" s="55">
        <v>1</v>
      </c>
      <c r="E40" s="55"/>
      <c r="F40" s="55"/>
      <c r="G40" s="56"/>
      <c r="H40" s="56"/>
      <c r="I40" s="56"/>
      <c r="J40" s="56"/>
      <c r="K40" s="56"/>
      <c r="L40" s="56"/>
      <c r="M40" s="56"/>
      <c r="N40" s="56"/>
      <c r="O40" s="56"/>
      <c r="P40" s="56"/>
      <c r="Q40" s="56"/>
      <c r="R40" s="67"/>
      <c r="S40" s="56"/>
      <c r="T40" s="56"/>
      <c r="U40" s="56"/>
      <c r="V40" s="42"/>
      <c r="W40" s="56"/>
      <c r="X40" s="56"/>
      <c r="Y40" s="56"/>
      <c r="Z40" s="56"/>
      <c r="AA40" s="57"/>
      <c r="AB40" s="57"/>
    </row>
    <row r="41" spans="2:28" ht="16" customHeight="1" x14ac:dyDescent="0.2">
      <c r="B41" s="59" t="s">
        <v>287</v>
      </c>
      <c r="C41" s="55">
        <v>23</v>
      </c>
      <c r="D41" s="55">
        <v>2</v>
      </c>
      <c r="E41" s="55"/>
      <c r="F41" s="55"/>
      <c r="G41" s="56"/>
      <c r="H41" s="56"/>
      <c r="I41" s="56"/>
      <c r="J41" s="56"/>
      <c r="K41" s="56"/>
      <c r="L41" s="56"/>
      <c r="M41" s="56"/>
      <c r="N41" s="56"/>
      <c r="O41" s="56"/>
      <c r="P41" s="56"/>
      <c r="Q41" s="56"/>
      <c r="R41" s="67"/>
      <c r="S41" s="56"/>
      <c r="T41" s="56"/>
      <c r="U41" s="56"/>
      <c r="V41" s="42"/>
      <c r="W41" s="56"/>
      <c r="X41" s="56"/>
      <c r="Y41" s="56"/>
      <c r="Z41" s="56"/>
      <c r="AA41" s="57"/>
      <c r="AB41" s="57"/>
    </row>
    <row r="42" spans="2:28" ht="16" customHeight="1" x14ac:dyDescent="0.2">
      <c r="B42" s="59" t="s">
        <v>255</v>
      </c>
      <c r="C42" s="55">
        <v>24</v>
      </c>
      <c r="D42" s="55">
        <v>2</v>
      </c>
      <c r="E42" s="55"/>
      <c r="F42" s="55"/>
      <c r="G42" s="56"/>
      <c r="H42" s="56"/>
      <c r="I42" s="56"/>
      <c r="J42" s="56"/>
      <c r="K42" s="56"/>
      <c r="L42" s="56"/>
      <c r="M42" s="56"/>
      <c r="N42" s="56"/>
      <c r="O42" s="56"/>
      <c r="P42" s="56"/>
      <c r="Q42" s="56"/>
      <c r="R42" s="67"/>
      <c r="S42" s="56"/>
      <c r="T42" s="56"/>
      <c r="U42" s="56"/>
      <c r="V42" s="42"/>
      <c r="W42" s="56"/>
      <c r="X42" s="56"/>
      <c r="Y42" s="56"/>
      <c r="Z42" s="56"/>
      <c r="AA42" s="57"/>
      <c r="AB42" s="57"/>
    </row>
    <row r="43" spans="2:28" ht="16" customHeight="1" x14ac:dyDescent="0.2">
      <c r="B43" s="62" t="s">
        <v>256</v>
      </c>
      <c r="C43" s="55">
        <v>26</v>
      </c>
      <c r="D43" s="55">
        <v>3</v>
      </c>
      <c r="E43" s="55"/>
      <c r="F43" s="55"/>
      <c r="G43" s="56"/>
      <c r="H43" s="56"/>
      <c r="I43" s="56"/>
      <c r="J43" s="56"/>
      <c r="K43" s="56"/>
      <c r="L43" s="56"/>
      <c r="M43" s="56"/>
      <c r="N43" s="56"/>
      <c r="O43" s="56"/>
      <c r="P43" s="56"/>
      <c r="Q43" s="56"/>
      <c r="R43" s="67"/>
      <c r="S43" s="56"/>
      <c r="T43" s="56"/>
      <c r="U43" s="56"/>
      <c r="V43" s="42"/>
      <c r="W43" s="56"/>
      <c r="X43" s="56"/>
      <c r="Y43" s="56"/>
      <c r="Z43" s="56"/>
      <c r="AA43" s="57"/>
      <c r="AB43" s="57"/>
    </row>
    <row r="44" spans="2:28" ht="16" customHeight="1" x14ac:dyDescent="0.2">
      <c r="B44" s="59" t="s">
        <v>259</v>
      </c>
      <c r="C44" s="55">
        <v>26</v>
      </c>
      <c r="D44" s="55">
        <v>1</v>
      </c>
      <c r="E44" s="55"/>
      <c r="F44" s="55"/>
      <c r="G44" s="56"/>
      <c r="H44" s="56"/>
      <c r="I44" s="56"/>
      <c r="J44" s="56"/>
      <c r="K44" s="56"/>
      <c r="L44" s="56"/>
      <c r="M44" s="56"/>
      <c r="N44" s="56"/>
      <c r="O44" s="56"/>
      <c r="P44" s="56"/>
      <c r="Q44" s="56"/>
      <c r="R44" s="67"/>
      <c r="S44" s="56"/>
      <c r="T44" s="56"/>
      <c r="U44" s="56"/>
      <c r="V44" s="42"/>
      <c r="W44" s="56"/>
      <c r="X44" s="56"/>
      <c r="Y44" s="56"/>
      <c r="Z44" s="56"/>
      <c r="AA44" s="57"/>
      <c r="AB44" s="57"/>
    </row>
    <row r="45" spans="2:28" ht="16" customHeight="1" x14ac:dyDescent="0.2">
      <c r="B45" s="59" t="s">
        <v>260</v>
      </c>
      <c r="C45" s="55">
        <v>27</v>
      </c>
      <c r="D45" s="55">
        <v>1</v>
      </c>
      <c r="E45" s="55"/>
      <c r="F45" s="55"/>
      <c r="G45" s="56"/>
      <c r="H45" s="56"/>
      <c r="I45" s="56"/>
      <c r="J45" s="56"/>
      <c r="K45" s="56"/>
      <c r="L45" s="56"/>
      <c r="M45" s="56"/>
      <c r="N45" s="56"/>
      <c r="O45" s="56"/>
      <c r="P45" s="56"/>
      <c r="Q45" s="56"/>
      <c r="R45" s="67"/>
      <c r="S45" s="56"/>
      <c r="T45" s="56"/>
      <c r="U45" s="56"/>
      <c r="V45" s="42"/>
      <c r="W45" s="56"/>
      <c r="X45" s="56"/>
      <c r="Y45" s="56"/>
      <c r="Z45" s="56"/>
      <c r="AA45" s="57"/>
      <c r="AB45" s="57"/>
    </row>
    <row r="46" spans="2:28" ht="16" customHeight="1" x14ac:dyDescent="0.2">
      <c r="B46" s="59" t="s">
        <v>261</v>
      </c>
      <c r="C46" s="55">
        <v>28</v>
      </c>
      <c r="D46" s="55">
        <v>1</v>
      </c>
      <c r="E46" s="55"/>
      <c r="F46" s="55"/>
      <c r="G46" s="56"/>
      <c r="H46" s="56"/>
      <c r="I46" s="56"/>
      <c r="J46" s="56"/>
      <c r="K46" s="56"/>
      <c r="L46" s="56"/>
      <c r="M46" s="56"/>
      <c r="N46" s="56"/>
      <c r="O46" s="56"/>
      <c r="P46" s="56"/>
      <c r="Q46" s="56"/>
      <c r="R46" s="67"/>
      <c r="S46" s="56"/>
      <c r="T46" s="56"/>
      <c r="U46" s="56"/>
      <c r="V46" s="42"/>
      <c r="W46" s="56"/>
      <c r="X46" s="56"/>
      <c r="Y46" s="56"/>
      <c r="Z46" s="56"/>
      <c r="AA46" s="57"/>
      <c r="AB46" s="57"/>
    </row>
    <row r="47" spans="2:28" ht="16" customHeight="1" x14ac:dyDescent="0.2">
      <c r="B47" s="59" t="s">
        <v>262</v>
      </c>
      <c r="C47" s="55">
        <v>26</v>
      </c>
      <c r="D47" s="55">
        <v>3</v>
      </c>
      <c r="E47" s="55"/>
      <c r="F47" s="55"/>
      <c r="G47" s="56"/>
      <c r="H47" s="56"/>
      <c r="I47" s="56"/>
      <c r="J47" s="56"/>
      <c r="K47" s="56"/>
      <c r="L47" s="56"/>
      <c r="M47" s="56"/>
      <c r="N47" s="56"/>
      <c r="O47" s="56"/>
      <c r="P47" s="56"/>
      <c r="Q47" s="56"/>
      <c r="R47" s="67"/>
      <c r="S47" s="56"/>
      <c r="T47" s="56"/>
      <c r="U47" s="56"/>
      <c r="V47" s="42"/>
      <c r="W47" s="56"/>
      <c r="X47" s="56"/>
      <c r="Y47" s="56"/>
      <c r="Z47" s="56"/>
      <c r="AA47" s="57"/>
      <c r="AB47" s="57"/>
    </row>
    <row r="48" spans="2:28" ht="16" customHeight="1" x14ac:dyDescent="0.2">
      <c r="B48" s="59"/>
      <c r="C48" s="55"/>
      <c r="D48" s="55"/>
      <c r="E48" s="55"/>
      <c r="F48" s="55"/>
      <c r="G48" s="56"/>
      <c r="H48" s="56"/>
      <c r="I48" s="56"/>
      <c r="J48" s="56"/>
      <c r="K48" s="56"/>
      <c r="L48" s="56"/>
      <c r="M48" s="56"/>
      <c r="N48" s="56"/>
      <c r="O48" s="56"/>
      <c r="P48" s="56"/>
      <c r="Q48" s="56"/>
      <c r="R48" s="67"/>
      <c r="S48" s="56"/>
      <c r="T48" s="56"/>
      <c r="U48" s="56"/>
      <c r="V48" s="42"/>
      <c r="W48" s="56"/>
      <c r="X48" s="56"/>
      <c r="Y48" s="56"/>
      <c r="Z48" s="56"/>
      <c r="AA48" s="57"/>
      <c r="AB48" s="57"/>
    </row>
    <row r="49" spans="2:67" ht="16" customHeight="1" x14ac:dyDescent="0.2">
      <c r="B49" s="63" t="s">
        <v>263</v>
      </c>
      <c r="C49" s="55">
        <v>29</v>
      </c>
      <c r="D49" s="55">
        <v>3</v>
      </c>
      <c r="E49" s="55"/>
      <c r="F49" s="55"/>
      <c r="G49" s="56"/>
      <c r="H49" s="56"/>
      <c r="I49" s="56"/>
      <c r="J49" s="56"/>
      <c r="K49" s="56"/>
      <c r="L49" s="56"/>
      <c r="M49" s="56"/>
      <c r="N49" s="56"/>
      <c r="O49" s="56"/>
      <c r="P49" s="56"/>
      <c r="Q49" s="56"/>
      <c r="R49" s="67"/>
      <c r="S49" s="56"/>
      <c r="T49" s="56"/>
      <c r="U49" s="56"/>
      <c r="V49" s="42"/>
      <c r="W49" s="56"/>
      <c r="X49" s="56"/>
      <c r="Y49" s="56"/>
      <c r="Z49" s="56"/>
      <c r="AA49" s="57"/>
      <c r="AB49" s="57"/>
    </row>
    <row r="50" spans="2:67" ht="16" customHeight="1" x14ac:dyDescent="0.2">
      <c r="B50" s="64" t="s">
        <v>264</v>
      </c>
      <c r="C50" s="55">
        <v>29</v>
      </c>
      <c r="D50" s="55">
        <v>3</v>
      </c>
      <c r="E50" s="55"/>
      <c r="F50" s="55"/>
      <c r="G50" s="56"/>
      <c r="H50" s="56"/>
      <c r="I50" s="56"/>
      <c r="J50" s="56"/>
      <c r="K50" s="56"/>
      <c r="L50" s="56"/>
      <c r="M50" s="56"/>
      <c r="N50" s="56"/>
      <c r="O50" s="56"/>
      <c r="P50" s="56"/>
      <c r="Q50" s="56"/>
      <c r="R50" s="67"/>
      <c r="S50" s="56"/>
      <c r="T50" s="56"/>
      <c r="U50" s="56"/>
      <c r="V50" s="42"/>
      <c r="W50" s="56"/>
      <c r="X50" s="56"/>
      <c r="Y50" s="56"/>
      <c r="Z50" s="56"/>
      <c r="AA50" s="57"/>
      <c r="AB50" s="57"/>
    </row>
    <row r="51" spans="2:67" ht="16" customHeight="1" x14ac:dyDescent="0.2">
      <c r="B51" s="59" t="s">
        <v>265</v>
      </c>
      <c r="C51" s="55">
        <v>29</v>
      </c>
      <c r="D51" s="55">
        <v>1</v>
      </c>
      <c r="E51" s="55"/>
      <c r="F51" s="55"/>
      <c r="G51" s="56"/>
      <c r="H51" s="56"/>
      <c r="I51" s="56"/>
      <c r="J51" s="56"/>
      <c r="K51" s="56"/>
      <c r="L51" s="56"/>
      <c r="M51" s="56"/>
      <c r="N51" s="56"/>
      <c r="O51" s="56"/>
      <c r="P51" s="56"/>
      <c r="Q51" s="56"/>
      <c r="R51" s="67"/>
      <c r="S51" s="56"/>
      <c r="T51" s="56"/>
      <c r="U51" s="56"/>
      <c r="V51" s="42"/>
      <c r="W51" s="56"/>
      <c r="X51" s="56"/>
      <c r="Y51" s="56"/>
      <c r="Z51" s="56"/>
      <c r="AA51" s="57"/>
      <c r="AB51" s="57"/>
    </row>
    <row r="52" spans="2:67" ht="16" customHeight="1" x14ac:dyDescent="0.2">
      <c r="B52" s="59" t="s">
        <v>266</v>
      </c>
      <c r="C52" s="55">
        <v>30</v>
      </c>
      <c r="D52" s="55">
        <v>2</v>
      </c>
      <c r="E52" s="55"/>
      <c r="F52" s="55"/>
      <c r="G52" s="56"/>
      <c r="H52" s="56"/>
      <c r="I52" s="56"/>
      <c r="J52" s="56"/>
      <c r="K52" s="56"/>
      <c r="L52" s="56"/>
      <c r="M52" s="56"/>
      <c r="N52" s="56"/>
      <c r="O52" s="56"/>
      <c r="P52" s="56"/>
      <c r="Q52" s="56"/>
      <c r="R52" s="67"/>
      <c r="S52" s="56"/>
      <c r="T52" s="56"/>
      <c r="U52" s="56"/>
      <c r="V52" s="42"/>
      <c r="W52" s="56"/>
      <c r="X52" s="56"/>
      <c r="Y52" s="56"/>
      <c r="Z52" s="56"/>
      <c r="AA52" s="57"/>
      <c r="AB52" s="57"/>
    </row>
    <row r="53" spans="2:67" ht="16" customHeight="1" x14ac:dyDescent="0.2">
      <c r="B53" s="59"/>
      <c r="C53" s="55"/>
      <c r="D53" s="55"/>
      <c r="E53" s="55"/>
      <c r="F53" s="55"/>
      <c r="G53" s="56"/>
      <c r="H53" s="56"/>
      <c r="I53" s="56"/>
      <c r="J53" s="56"/>
      <c r="K53" s="56"/>
      <c r="L53" s="56"/>
      <c r="M53" s="56"/>
      <c r="N53" s="56"/>
      <c r="O53" s="56"/>
      <c r="P53" s="56"/>
      <c r="Q53" s="56"/>
      <c r="R53" s="67"/>
      <c r="S53" s="56"/>
      <c r="T53" s="56"/>
      <c r="U53" s="56"/>
      <c r="V53" s="42"/>
      <c r="W53" s="56"/>
      <c r="X53" s="56"/>
      <c r="Y53" s="56"/>
      <c r="Z53" s="56"/>
      <c r="AA53" s="57"/>
      <c r="AB53" s="57"/>
    </row>
    <row r="54" spans="2:67" s="41" customFormat="1" ht="16" customHeight="1" x14ac:dyDescent="0.2">
      <c r="B54" s="65" t="s">
        <v>289</v>
      </c>
      <c r="C54" s="55">
        <v>1</v>
      </c>
      <c r="D54" s="55">
        <v>31</v>
      </c>
      <c r="E54" s="55"/>
      <c r="F54" s="55"/>
      <c r="G54" s="56"/>
      <c r="H54" s="56"/>
      <c r="I54" s="56"/>
      <c r="J54" s="56"/>
      <c r="K54" s="56"/>
      <c r="L54" s="56"/>
      <c r="M54" s="56"/>
      <c r="N54" s="56"/>
      <c r="O54" s="56"/>
      <c r="P54" s="56"/>
      <c r="Q54" s="56"/>
      <c r="R54" s="67"/>
      <c r="S54" s="56"/>
      <c r="T54" s="56"/>
      <c r="U54" s="56"/>
      <c r="V54" s="42"/>
      <c r="W54" s="56"/>
      <c r="X54" s="56"/>
      <c r="Y54" s="56"/>
      <c r="Z54" s="56"/>
      <c r="AA54" s="57"/>
      <c r="AB54" s="57"/>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row>
  </sheetData>
  <mergeCells count="2">
    <mergeCell ref="B2:F4"/>
    <mergeCell ref="B7:B8"/>
  </mergeCells>
  <conditionalFormatting sqref="G9:P28 S9:U28 G30:P54 S30:U54 W30:AG54 W9:AG28 AL9:BN28 AL30:BN54">
    <cfRule type="expression" dxfId="69" priority="112">
      <formula>PercentComplete</formula>
    </cfRule>
    <cfRule type="expression" dxfId="68" priority="114">
      <formula>PercentCompleteBeyond</formula>
    </cfRule>
    <cfRule type="expression" dxfId="67" priority="115">
      <formula>Actual</formula>
    </cfRule>
    <cfRule type="expression" dxfId="66" priority="116">
      <formula>ActualBeyond</formula>
    </cfRule>
    <cfRule type="expression" dxfId="65" priority="117">
      <formula>Plan</formula>
    </cfRule>
    <cfRule type="expression" dxfId="64" priority="118">
      <formula>G$8=period_selected</formula>
    </cfRule>
    <cfRule type="expression" dxfId="63" priority="120">
      <formula>MOD(COLUMN(),2)</formula>
    </cfRule>
    <cfRule type="expression" dxfId="62" priority="121">
      <formula>MOD(COLUMN(),2)=0</formula>
    </cfRule>
  </conditionalFormatting>
  <conditionalFormatting sqref="B55:AG55 AL55:BN55">
    <cfRule type="expression" dxfId="61" priority="113">
      <formula>TRUE</formula>
    </cfRule>
  </conditionalFormatting>
  <conditionalFormatting sqref="G8:P8 W8:AG8 R8:U8 AL8:BN8">
    <cfRule type="expression" dxfId="60" priority="119">
      <formula>G$8=period_selected</formula>
    </cfRule>
  </conditionalFormatting>
  <conditionalFormatting sqref="G29:P29 S29:U29 W29:AG29 AL29:BN29">
    <cfRule type="expression" dxfId="59" priority="104">
      <formula>PercentComplete</formula>
    </cfRule>
    <cfRule type="expression" dxfId="58" priority="105">
      <formula>PercentCompleteBeyond</formula>
    </cfRule>
    <cfRule type="expression" dxfId="57" priority="106">
      <formula>Actual</formula>
    </cfRule>
    <cfRule type="expression" dxfId="56" priority="107">
      <formula>ActualBeyond</formula>
    </cfRule>
    <cfRule type="expression" dxfId="55" priority="108">
      <formula>Plan</formula>
    </cfRule>
    <cfRule type="expression" dxfId="54" priority="109">
      <formula>G$8=period_selected</formula>
    </cfRule>
    <cfRule type="expression" dxfId="53" priority="110">
      <formula>MOD(COLUMN(),2)</formula>
    </cfRule>
    <cfRule type="expression" dxfId="52" priority="111">
      <formula>MOD(COLUMN(),2)=0</formula>
    </cfRule>
  </conditionalFormatting>
  <conditionalFormatting sqref="V30:V54 V9:V28">
    <cfRule type="expression" dxfId="51" priority="27">
      <formula>PercentComplete</formula>
    </cfRule>
    <cfRule type="expression" dxfId="50" priority="28">
      <formula>PercentCompleteBeyond</formula>
    </cfRule>
    <cfRule type="expression" dxfId="49" priority="29">
      <formula>Actual</formula>
    </cfRule>
    <cfRule type="expression" dxfId="48" priority="30">
      <formula>ActualBeyond</formula>
    </cfRule>
    <cfRule type="expression" dxfId="47" priority="31">
      <formula>Plan</formula>
    </cfRule>
    <cfRule type="expression" dxfId="46" priority="32">
      <formula>V$8=period_selected</formula>
    </cfRule>
    <cfRule type="expression" dxfId="45" priority="34">
      <formula>MOD(COLUMN(),2)</formula>
    </cfRule>
    <cfRule type="expression" dxfId="44" priority="35">
      <formula>MOD(COLUMN(),2)=0</formula>
    </cfRule>
  </conditionalFormatting>
  <conditionalFormatting sqref="V8">
    <cfRule type="expression" dxfId="43" priority="33">
      <formula>V$8=period_selected</formula>
    </cfRule>
  </conditionalFormatting>
  <conditionalFormatting sqref="V29">
    <cfRule type="expression" dxfId="42" priority="19">
      <formula>PercentComplete</formula>
    </cfRule>
    <cfRule type="expression" dxfId="41" priority="20">
      <formula>PercentCompleteBeyond</formula>
    </cfRule>
    <cfRule type="expression" dxfId="40" priority="21">
      <formula>Actual</formula>
    </cfRule>
    <cfRule type="expression" dxfId="39" priority="22">
      <formula>ActualBeyond</formula>
    </cfRule>
    <cfRule type="expression" dxfId="38" priority="23">
      <formula>Plan</formula>
    </cfRule>
    <cfRule type="expression" dxfId="37" priority="24">
      <formula>V$8=period_selected</formula>
    </cfRule>
    <cfRule type="expression" dxfId="36" priority="25">
      <formula>MOD(COLUMN(),2)</formula>
    </cfRule>
    <cfRule type="expression" dxfId="35" priority="26">
      <formula>MOD(COLUMN(),2)=0</formula>
    </cfRule>
  </conditionalFormatting>
  <conditionalFormatting sqref="Q9:Q28 Q30:Q54">
    <cfRule type="expression" dxfId="34" priority="44">
      <formula>PercentComplete</formula>
    </cfRule>
    <cfRule type="expression" dxfId="33" priority="45">
      <formula>PercentCompleteBeyond</formula>
    </cfRule>
    <cfRule type="expression" dxfId="32" priority="46">
      <formula>Actual</formula>
    </cfRule>
    <cfRule type="expression" dxfId="31" priority="47">
      <formula>ActualBeyond</formula>
    </cfRule>
    <cfRule type="expression" dxfId="30" priority="48">
      <formula>Plan</formula>
    </cfRule>
    <cfRule type="expression" dxfId="29" priority="49">
      <formula>Q$8=period_selected</formula>
    </cfRule>
    <cfRule type="expression" dxfId="28" priority="51">
      <formula>MOD(COLUMN(),2)</formula>
    </cfRule>
    <cfRule type="expression" dxfId="27" priority="52">
      <formula>MOD(COLUMN(),2)=0</formula>
    </cfRule>
  </conditionalFormatting>
  <conditionalFormatting sqref="Q8">
    <cfRule type="expression" dxfId="26" priority="50">
      <formula>Q$8=period_selected</formula>
    </cfRule>
  </conditionalFormatting>
  <conditionalFormatting sqref="Q29">
    <cfRule type="expression" dxfId="25" priority="36">
      <formula>PercentComplete</formula>
    </cfRule>
    <cfRule type="expression" dxfId="24" priority="37">
      <formula>PercentCompleteBeyond</formula>
    </cfRule>
    <cfRule type="expression" dxfId="23" priority="38">
      <formula>Actual</formula>
    </cfRule>
    <cfRule type="expression" dxfId="22" priority="39">
      <formula>ActualBeyond</formula>
    </cfRule>
    <cfRule type="expression" dxfId="21" priority="40">
      <formula>Plan</formula>
    </cfRule>
    <cfRule type="expression" dxfId="20" priority="41">
      <formula>Q$8=period_selected</formula>
    </cfRule>
    <cfRule type="expression" dxfId="19" priority="42">
      <formula>MOD(COLUMN(),2)</formula>
    </cfRule>
    <cfRule type="expression" dxfId="18" priority="43">
      <formula>MOD(COLUMN(),2)=0</formula>
    </cfRule>
  </conditionalFormatting>
  <conditionalFormatting sqref="AH30:AK54 AH9:AK28">
    <cfRule type="expression" dxfId="17" priority="9">
      <formula>PercentComplete</formula>
    </cfRule>
    <cfRule type="expression" dxfId="16" priority="11">
      <formula>PercentCompleteBeyond</formula>
    </cfRule>
    <cfRule type="expression" dxfId="15" priority="12">
      <formula>Actual</formula>
    </cfRule>
    <cfRule type="expression" dxfId="14" priority="13">
      <formula>ActualBeyond</formula>
    </cfRule>
    <cfRule type="expression" dxfId="13" priority="14">
      <formula>Plan</formula>
    </cfRule>
    <cfRule type="expression" dxfId="12" priority="15">
      <formula>AH$8=period_selected</formula>
    </cfRule>
    <cfRule type="expression" dxfId="11" priority="17">
      <formula>MOD(COLUMN(),2)</formula>
    </cfRule>
    <cfRule type="expression" dxfId="10" priority="18">
      <formula>MOD(COLUMN(),2)=0</formula>
    </cfRule>
  </conditionalFormatting>
  <conditionalFormatting sqref="AH55:AK55">
    <cfRule type="expression" dxfId="9" priority="10">
      <formula>TRUE</formula>
    </cfRule>
  </conditionalFormatting>
  <conditionalFormatting sqref="AH8:AK8">
    <cfRule type="expression" dxfId="8" priority="16">
      <formula>AH$8=period_selected</formula>
    </cfRule>
  </conditionalFormatting>
  <conditionalFormatting sqref="AH29:AK29">
    <cfRule type="expression" dxfId="7" priority="1">
      <formula>PercentComplete</formula>
    </cfRule>
    <cfRule type="expression" dxfId="6" priority="2">
      <formula>PercentCompleteBeyond</formula>
    </cfRule>
    <cfRule type="expression" dxfId="5" priority="3">
      <formula>Actual</formula>
    </cfRule>
    <cfRule type="expression" dxfId="4" priority="4">
      <formula>ActualBeyond</formula>
    </cfRule>
    <cfRule type="expression" dxfId="3" priority="5">
      <formula>Plan</formula>
    </cfRule>
    <cfRule type="expression" dxfId="2" priority="6">
      <formula>AH$8=period_selected</formula>
    </cfRule>
    <cfRule type="expression" dxfId="1" priority="7">
      <formula>MOD(COLUMN(),2)</formula>
    </cfRule>
    <cfRule type="expression" dxfId="0" priority="8">
      <formula>MOD(COLUMN(),2)=0</formula>
    </cfRule>
  </conditionalFormatting>
  <pageMargins left="0.45" right="0.45" top="0.5" bottom="0.5" header="0.3" footer="0.3"/>
  <pageSetup scale="4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Spinner 1">
              <controlPr defaultSize="0" print="0" autoPict="0" altText="Period Highlight Spin Control">
                <anchor moveWithCells="1">
                  <from>
                    <xdr:col>12</xdr:col>
                    <xdr:colOff>63500</xdr:colOff>
                    <xdr:row>2</xdr:row>
                    <xdr:rowOff>25400</xdr:rowOff>
                  </from>
                  <to>
                    <xdr:col>12</xdr:col>
                    <xdr:colOff>203200</xdr:colOff>
                    <xdr:row>3</xdr:row>
                    <xdr:rowOff>50800</xdr:rowOff>
                  </to>
                </anchor>
              </controlPr>
            </control>
          </mc:Choice>
          <mc:Fallback/>
        </mc:AlternateContent>
      </controls>
    </mc:Choice>
    <mc:Fallback/>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120" zoomScaleNormal="120" zoomScalePageLayoutView="120" workbookViewId="0">
      <selection activeCell="B1" sqref="B1:B7"/>
    </sheetView>
  </sheetViews>
  <sheetFormatPr baseColWidth="10" defaultRowHeight="16" x14ac:dyDescent="0.2"/>
  <sheetData>
    <row r="1" spans="1:2" x14ac:dyDescent="0.2">
      <c r="A1" t="s">
        <v>48</v>
      </c>
      <c r="B1" t="s">
        <v>49</v>
      </c>
    </row>
    <row r="2" spans="1:2" x14ac:dyDescent="0.2">
      <c r="A2" t="s">
        <v>51</v>
      </c>
      <c r="B2" t="s">
        <v>55</v>
      </c>
    </row>
    <row r="3" spans="1:2" x14ac:dyDescent="0.2">
      <c r="A3" t="s">
        <v>54</v>
      </c>
      <c r="B3" t="s">
        <v>56</v>
      </c>
    </row>
    <row r="4" spans="1:2" x14ac:dyDescent="0.2">
      <c r="A4" t="s">
        <v>53</v>
      </c>
      <c r="B4" t="s">
        <v>57</v>
      </c>
    </row>
    <row r="5" spans="1:2" x14ac:dyDescent="0.2">
      <c r="B5" t="s">
        <v>60</v>
      </c>
    </row>
    <row r="6" spans="1:2" x14ac:dyDescent="0.2">
      <c r="B6" t="s">
        <v>58</v>
      </c>
    </row>
    <row r="7" spans="1:2" x14ac:dyDescent="0.2">
      <c r="B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Task</vt:lpstr>
      <vt:lpstr>Version Control</vt:lpstr>
      <vt:lpstr>Project Timeline</vt:lpstr>
      <vt:lpstr>Project Plan</vt:lpstr>
      <vt:lpstr>Proposed Project Plan</vt:lpstr>
      <vt:lpstr>Legend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2016-10-12T02:41:18Z</dcterms:created>
  <dcterms:modified xsi:type="dcterms:W3CDTF">2017-02-07T06:04:17Z</dcterms:modified>
</cp:coreProperties>
</file>