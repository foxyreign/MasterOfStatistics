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user\Dropbox\MasterOfStatistics\stat 266\"/>
    </mc:Choice>
  </mc:AlternateContent>
  <bookViews>
    <workbookView xWindow="0" yWindow="0" windowWidth="24000" windowHeight="95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0" i="1" l="1"/>
  <c r="H60" i="1"/>
  <c r="H59" i="1"/>
  <c r="G60" i="1"/>
  <c r="G61" i="1"/>
  <c r="G62" i="1"/>
  <c r="G63" i="1"/>
  <c r="G64" i="1"/>
  <c r="G65" i="1"/>
  <c r="G66" i="1"/>
  <c r="G67" i="1"/>
  <c r="G68" i="1"/>
  <c r="G59" i="1"/>
  <c r="D60" i="1"/>
  <c r="D61" i="1"/>
  <c r="D62" i="1"/>
  <c r="D63" i="1"/>
  <c r="D64" i="1"/>
  <c r="D65" i="1"/>
  <c r="D66" i="1"/>
  <c r="D67" i="1"/>
  <c r="D68" i="1"/>
  <c r="E63" i="1" l="1"/>
  <c r="F63" i="1" s="1"/>
  <c r="E67" i="1"/>
  <c r="F67" i="1" s="1"/>
  <c r="D59" i="1"/>
  <c r="E59" i="1" s="1"/>
  <c r="F59" i="1" s="1"/>
  <c r="C70" i="1"/>
  <c r="B70" i="1"/>
  <c r="E68" i="1"/>
  <c r="F68" i="1" s="1"/>
  <c r="E66" i="1"/>
  <c r="F66" i="1" s="1"/>
  <c r="E65" i="1"/>
  <c r="F65" i="1" s="1"/>
  <c r="E64" i="1"/>
  <c r="F64" i="1" s="1"/>
  <c r="E62" i="1"/>
  <c r="F62" i="1" s="1"/>
  <c r="E61" i="1"/>
  <c r="F61" i="1" s="1"/>
  <c r="E60" i="1"/>
  <c r="F60" i="1" s="1"/>
  <c r="H47" i="1"/>
  <c r="F45" i="1"/>
  <c r="F46" i="1"/>
  <c r="F47" i="1"/>
  <c r="F48" i="1"/>
  <c r="H45" i="1" s="1"/>
  <c r="F49" i="1"/>
  <c r="F50" i="1"/>
  <c r="F51" i="1"/>
  <c r="F52" i="1"/>
  <c r="F53" i="1"/>
  <c r="F44" i="1"/>
  <c r="D45" i="1"/>
  <c r="D46" i="1"/>
  <c r="D47" i="1"/>
  <c r="D48" i="1"/>
  <c r="E48" i="1" s="1"/>
  <c r="D49" i="1"/>
  <c r="D50" i="1"/>
  <c r="D51" i="1"/>
  <c r="D52" i="1"/>
  <c r="E52" i="1" s="1"/>
  <c r="D53" i="1"/>
  <c r="D44" i="1"/>
  <c r="E44" i="1" s="1"/>
  <c r="C55" i="1"/>
  <c r="B55" i="1"/>
  <c r="E53" i="1"/>
  <c r="E51" i="1"/>
  <c r="E50" i="1"/>
  <c r="E49" i="1"/>
  <c r="E47" i="1"/>
  <c r="E46" i="1"/>
  <c r="E45" i="1"/>
  <c r="C41" i="1"/>
  <c r="B41" i="1"/>
  <c r="H62" i="1" l="1"/>
  <c r="H44" i="1"/>
  <c r="D31" i="1"/>
  <c r="D32" i="1"/>
  <c r="D33" i="1"/>
  <c r="D34" i="1"/>
  <c r="D35" i="1"/>
  <c r="D36" i="1"/>
  <c r="D37" i="1"/>
  <c r="D38" i="1"/>
  <c r="D39" i="1"/>
  <c r="D30" i="1"/>
  <c r="E30" i="1" l="1"/>
  <c r="F30" i="1" s="1"/>
  <c r="E31" i="1"/>
  <c r="F31" i="1" s="1"/>
  <c r="E34" i="1"/>
  <c r="F34" i="1" s="1"/>
  <c r="E35" i="1"/>
  <c r="F35" i="1" s="1"/>
  <c r="E38" i="1"/>
  <c r="F38" i="1" s="1"/>
  <c r="E39" i="1"/>
  <c r="F39" i="1" s="1"/>
  <c r="G17" i="1"/>
  <c r="G20" i="1"/>
  <c r="E37" i="1"/>
  <c r="F37" i="1" s="1"/>
  <c r="E36" i="1"/>
  <c r="F36" i="1" s="1"/>
  <c r="E33" i="1"/>
  <c r="F33" i="1" s="1"/>
  <c r="E32" i="1"/>
  <c r="F32" i="1" s="1"/>
  <c r="H31" i="1" s="1"/>
  <c r="C24" i="1"/>
  <c r="D24" i="1" s="1"/>
  <c r="C23" i="1"/>
  <c r="D23" i="1" s="1"/>
  <c r="C22" i="1"/>
  <c r="D22" i="1" s="1"/>
  <c r="C21" i="1"/>
  <c r="D21" i="1" s="1"/>
  <c r="C20" i="1"/>
  <c r="D20" i="1" s="1"/>
  <c r="C19" i="1"/>
  <c r="D19" i="1" s="1"/>
  <c r="C18" i="1"/>
  <c r="D18" i="1" s="1"/>
  <c r="C17" i="1"/>
  <c r="D17" i="1" s="1"/>
  <c r="F13" i="1"/>
  <c r="E13" i="1"/>
  <c r="H33" i="1" l="1"/>
  <c r="H30" i="1"/>
</calcChain>
</file>

<file path=xl/sharedStrings.xml><?xml version="1.0" encoding="utf-8"?>
<sst xmlns="http://schemas.openxmlformats.org/spreadsheetml/2006/main" count="113" uniqueCount="32">
  <si>
    <t>Florida</t>
  </si>
  <si>
    <t>Georgia</t>
  </si>
  <si>
    <t>Illinoi</t>
  </si>
  <si>
    <t>Iowa</t>
  </si>
  <si>
    <t>Maine</t>
  </si>
  <si>
    <t>Michigan</t>
  </si>
  <si>
    <t>Montana</t>
  </si>
  <si>
    <t>Nebraska</t>
  </si>
  <si>
    <t>New Hampshire</t>
  </si>
  <si>
    <t>Tennessee</t>
  </si>
  <si>
    <t>State</t>
  </si>
  <si>
    <t>Affected Ages</t>
  </si>
  <si>
    <t>19-20</t>
  </si>
  <si>
    <t>18-19</t>
  </si>
  <si>
    <t>18-20</t>
  </si>
  <si>
    <t>Ratio Before</t>
  </si>
  <si>
    <t>Ratio After</t>
  </si>
  <si>
    <t>Affected Age Group</t>
  </si>
  <si>
    <t>25-29 Age Group</t>
  </si>
  <si>
    <t>Xi</t>
  </si>
  <si>
    <t>Di</t>
  </si>
  <si>
    <t>|Di|</t>
  </si>
  <si>
    <t>ri</t>
  </si>
  <si>
    <t>-</t>
  </si>
  <si>
    <t>+</t>
  </si>
  <si>
    <t>T-</t>
  </si>
  <si>
    <t>T+</t>
  </si>
  <si>
    <t>T+ - T-</t>
  </si>
  <si>
    <t>Sign Diff from Mo</t>
  </si>
  <si>
    <t>Median</t>
  </si>
  <si>
    <t>Zi</t>
  </si>
  <si>
    <t>Di = Xi - 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</si>
</sst>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0"/>
  <sheetViews>
    <sheetView tabSelected="1" workbookViewId="0">
      <selection activeCell="E26" sqref="E26"/>
    </sheetView>
  </sheetViews>
  <sheetFormatPr defaultRowHeight="12.75" x14ac:dyDescent="0.25"/>
  <cols>
    <col min="1" max="1" width="19.140625" style="3" customWidth="1"/>
    <col min="2" max="6" width="19.140625" style="4" customWidth="1"/>
    <col min="7" max="7" width="14.85546875" style="3" bestFit="1" customWidth="1"/>
    <col min="8" max="16384" width="9.140625" style="3"/>
  </cols>
  <sheetData>
    <row r="1" spans="1:7" s="1" customFormat="1" x14ac:dyDescent="0.25">
      <c r="A1" s="1" t="s">
        <v>10</v>
      </c>
      <c r="B1" s="2" t="s">
        <v>11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7" x14ac:dyDescent="0.25">
      <c r="A2" s="3" t="s">
        <v>0</v>
      </c>
      <c r="B2" s="4">
        <v>18</v>
      </c>
      <c r="C2" s="5">
        <v>0.26200000000000001</v>
      </c>
      <c r="D2" s="5">
        <v>0.20200000000000001</v>
      </c>
      <c r="E2" s="5">
        <v>0.6</v>
      </c>
      <c r="F2" s="5">
        <v>-2.5000000000000001E-2</v>
      </c>
      <c r="G2" s="1"/>
    </row>
    <row r="3" spans="1:7" x14ac:dyDescent="0.25">
      <c r="A3" s="3" t="s">
        <v>1</v>
      </c>
      <c r="B3" s="4">
        <v>18</v>
      </c>
      <c r="C3" s="5">
        <v>0.29499999999999998</v>
      </c>
      <c r="D3" s="5">
        <v>0.22700000000000001</v>
      </c>
      <c r="E3" s="5">
        <v>6.8000000000000005E-2</v>
      </c>
      <c r="F3" s="5">
        <v>-0.23</v>
      </c>
      <c r="G3" s="1"/>
    </row>
    <row r="4" spans="1:7" x14ac:dyDescent="0.25">
      <c r="A4" s="3" t="s">
        <v>2</v>
      </c>
      <c r="B4" s="4" t="s">
        <v>12</v>
      </c>
      <c r="C4" s="5">
        <v>0.216</v>
      </c>
      <c r="D4" s="5">
        <v>0.191</v>
      </c>
      <c r="E4" s="5">
        <v>2.5000000000000001E-2</v>
      </c>
      <c r="F4" s="5">
        <v>4.0000000000000001E-3</v>
      </c>
      <c r="G4" s="1"/>
    </row>
    <row r="5" spans="1:7" x14ac:dyDescent="0.25">
      <c r="A5" s="3" t="s">
        <v>3</v>
      </c>
      <c r="B5" s="4">
        <v>18</v>
      </c>
      <c r="C5" s="5">
        <v>0.28699999999999998</v>
      </c>
      <c r="D5" s="5">
        <v>0.20899999999999999</v>
      </c>
      <c r="E5" s="5">
        <v>7.8E-2</v>
      </c>
      <c r="F5" s="5">
        <v>-8.0000000000000002E-3</v>
      </c>
      <c r="G5" s="1"/>
    </row>
    <row r="6" spans="1:7" x14ac:dyDescent="0.25">
      <c r="A6" s="3" t="s">
        <v>4</v>
      </c>
      <c r="B6" s="4" t="s">
        <v>13</v>
      </c>
      <c r="C6" s="5">
        <v>0.27700000000000002</v>
      </c>
      <c r="D6" s="5">
        <v>0.29899999999999999</v>
      </c>
      <c r="E6" s="5">
        <v>-2.1999999999999999E-2</v>
      </c>
      <c r="F6" s="5">
        <v>6.0999999999999999E-2</v>
      </c>
      <c r="G6" s="1"/>
    </row>
    <row r="7" spans="1:7" x14ac:dyDescent="0.25">
      <c r="A7" s="3" t="s">
        <v>5</v>
      </c>
      <c r="B7" s="4" t="s">
        <v>14</v>
      </c>
      <c r="C7" s="5">
        <v>0.223</v>
      </c>
      <c r="D7" s="5">
        <v>0.151</v>
      </c>
      <c r="E7" s="5">
        <v>7.1999999999999995E-2</v>
      </c>
      <c r="F7" s="5">
        <v>1.4999999999999999E-2</v>
      </c>
      <c r="G7" s="1"/>
    </row>
    <row r="8" spans="1:7" x14ac:dyDescent="0.25">
      <c r="A8" s="3" t="s">
        <v>6</v>
      </c>
      <c r="B8" s="4">
        <v>18</v>
      </c>
      <c r="C8" s="5">
        <v>0.51200000000000001</v>
      </c>
      <c r="D8" s="5">
        <v>0.47099999999999997</v>
      </c>
      <c r="E8" s="5">
        <v>4.1000000000000002E-2</v>
      </c>
      <c r="F8" s="5">
        <v>-3.5000000000000003E-2</v>
      </c>
      <c r="G8" s="1"/>
    </row>
    <row r="9" spans="1:7" x14ac:dyDescent="0.25">
      <c r="A9" s="3" t="s">
        <v>7</v>
      </c>
      <c r="B9" s="4">
        <v>19</v>
      </c>
      <c r="C9" s="5">
        <v>0.23699999999999999</v>
      </c>
      <c r="D9" s="5">
        <v>0.151</v>
      </c>
      <c r="E9" s="5">
        <v>0.86</v>
      </c>
      <c r="F9" s="5">
        <v>-1.6E-2</v>
      </c>
      <c r="G9" s="1"/>
    </row>
    <row r="10" spans="1:7" x14ac:dyDescent="0.25">
      <c r="A10" s="3" t="s">
        <v>8</v>
      </c>
      <c r="B10" s="4" t="s">
        <v>13</v>
      </c>
      <c r="C10" s="5">
        <v>0.34799999999999998</v>
      </c>
      <c r="D10" s="5">
        <v>0.33600000000000002</v>
      </c>
      <c r="E10" s="5">
        <v>1.2E-2</v>
      </c>
      <c r="F10" s="5">
        <v>-6.0999999999999999E-2</v>
      </c>
      <c r="G10" s="1"/>
    </row>
    <row r="11" spans="1:7" x14ac:dyDescent="0.25">
      <c r="A11" s="3" t="s">
        <v>9</v>
      </c>
      <c r="B11" s="4">
        <v>18</v>
      </c>
      <c r="C11" s="5">
        <v>0.34200000000000003</v>
      </c>
      <c r="D11" s="5">
        <v>0.307</v>
      </c>
      <c r="E11" s="5">
        <v>3.5000000000000003E-2</v>
      </c>
      <c r="F11" s="5">
        <v>-5.0999999999999997E-2</v>
      </c>
      <c r="G11" s="1"/>
    </row>
    <row r="12" spans="1:7" x14ac:dyDescent="0.25">
      <c r="D12" s="2"/>
      <c r="E12" s="2"/>
      <c r="F12" s="2"/>
      <c r="G12" s="1"/>
    </row>
    <row r="13" spans="1:7" x14ac:dyDescent="0.25">
      <c r="D13" s="2"/>
      <c r="E13" s="7">
        <f>MEDIAN(E2:E11)</f>
        <v>5.4500000000000007E-2</v>
      </c>
      <c r="F13" s="7">
        <f>MEDIAN(F2:F11)</f>
        <v>-2.0500000000000001E-2</v>
      </c>
      <c r="G13" s="1"/>
    </row>
    <row r="14" spans="1:7" x14ac:dyDescent="0.25">
      <c r="D14" s="2"/>
      <c r="E14" s="2"/>
      <c r="F14" s="2"/>
      <c r="G14" s="1"/>
    </row>
    <row r="15" spans="1:7" x14ac:dyDescent="0.25">
      <c r="D15" s="2"/>
      <c r="E15" s="2"/>
      <c r="F15" s="2"/>
      <c r="G15" s="1"/>
    </row>
    <row r="16" spans="1:7" x14ac:dyDescent="0.25">
      <c r="A16" s="3">
        <v>45</v>
      </c>
      <c r="B16" s="4" t="s">
        <v>19</v>
      </c>
      <c r="C16" s="4" t="s">
        <v>20</v>
      </c>
      <c r="D16" s="2" t="s">
        <v>21</v>
      </c>
      <c r="E16" s="2" t="s">
        <v>22</v>
      </c>
      <c r="F16" s="2"/>
      <c r="G16" s="1"/>
    </row>
    <row r="17" spans="1:13" x14ac:dyDescent="0.25">
      <c r="B17" s="4">
        <v>10.199999999999999</v>
      </c>
      <c r="C17" s="4">
        <f>B17-$A$16</f>
        <v>-34.799999999999997</v>
      </c>
      <c r="D17" s="2">
        <f>ABS(C17)</f>
        <v>34.799999999999997</v>
      </c>
      <c r="E17" s="2">
        <v>7</v>
      </c>
      <c r="F17" s="2" t="s">
        <v>23</v>
      </c>
      <c r="G17" s="1">
        <f>SUM(E17:E19)</f>
        <v>17</v>
      </c>
    </row>
    <row r="18" spans="1:13" x14ac:dyDescent="0.25">
      <c r="B18" s="4">
        <v>24.1</v>
      </c>
      <c r="C18" s="4">
        <f t="shared" ref="C18:C24" si="0">B18-$A$16</f>
        <v>-20.9</v>
      </c>
      <c r="D18" s="2">
        <f t="shared" ref="D18:D24" si="1">ABS(C18)</f>
        <v>20.9</v>
      </c>
      <c r="E18" s="2">
        <v>6</v>
      </c>
      <c r="F18" s="2" t="s">
        <v>23</v>
      </c>
      <c r="G18" s="1"/>
    </row>
    <row r="19" spans="1:13" x14ac:dyDescent="0.25">
      <c r="B19" s="4">
        <v>30.3</v>
      </c>
      <c r="C19" s="4">
        <f t="shared" si="0"/>
        <v>-14.7</v>
      </c>
      <c r="D19" s="2">
        <f t="shared" si="1"/>
        <v>14.7</v>
      </c>
      <c r="E19" s="2">
        <v>4</v>
      </c>
      <c r="F19" s="2" t="s">
        <v>23</v>
      </c>
      <c r="G19" s="1"/>
    </row>
    <row r="20" spans="1:13" x14ac:dyDescent="0.25">
      <c r="B20" s="4">
        <v>46.5</v>
      </c>
      <c r="C20" s="4">
        <f t="shared" si="0"/>
        <v>1.5</v>
      </c>
      <c r="D20" s="2">
        <f t="shared" si="1"/>
        <v>1.5</v>
      </c>
      <c r="E20" s="2">
        <v>1</v>
      </c>
      <c r="F20" s="2" t="s">
        <v>24</v>
      </c>
      <c r="G20" s="1">
        <f>SUM(E20:E24)</f>
        <v>19</v>
      </c>
    </row>
    <row r="21" spans="1:13" x14ac:dyDescent="0.25">
      <c r="B21" s="4">
        <v>49.2</v>
      </c>
      <c r="C21" s="4">
        <f t="shared" si="0"/>
        <v>4.2000000000000028</v>
      </c>
      <c r="D21" s="2">
        <f t="shared" si="1"/>
        <v>4.2000000000000028</v>
      </c>
      <c r="E21" s="2">
        <v>2</v>
      </c>
      <c r="F21" s="2" t="s">
        <v>24</v>
      </c>
      <c r="G21" s="1"/>
    </row>
    <row r="22" spans="1:13" x14ac:dyDescent="0.25">
      <c r="B22" s="4">
        <v>51.2</v>
      </c>
      <c r="C22" s="4">
        <f t="shared" si="0"/>
        <v>6.2000000000000028</v>
      </c>
      <c r="D22" s="2">
        <f t="shared" si="1"/>
        <v>6.2000000000000028</v>
      </c>
      <c r="E22" s="2">
        <v>3</v>
      </c>
      <c r="F22" s="2" t="s">
        <v>24</v>
      </c>
      <c r="G22" s="1"/>
    </row>
    <row r="23" spans="1:13" x14ac:dyDescent="0.25">
      <c r="B23" s="4">
        <v>65.3</v>
      </c>
      <c r="C23" s="4">
        <f t="shared" si="0"/>
        <v>20.299999999999997</v>
      </c>
      <c r="D23" s="2">
        <f t="shared" si="1"/>
        <v>20.299999999999997</v>
      </c>
      <c r="E23" s="2">
        <v>5</v>
      </c>
      <c r="F23" s="2" t="s">
        <v>24</v>
      </c>
      <c r="G23" s="1"/>
    </row>
    <row r="24" spans="1:13" x14ac:dyDescent="0.25">
      <c r="B24" s="4">
        <v>92.1</v>
      </c>
      <c r="C24" s="4">
        <f t="shared" si="0"/>
        <v>47.099999999999994</v>
      </c>
      <c r="D24" s="2">
        <f t="shared" si="1"/>
        <v>47.099999999999994</v>
      </c>
      <c r="E24" s="2">
        <v>8</v>
      </c>
      <c r="F24" s="2" t="s">
        <v>24</v>
      </c>
      <c r="G24" s="1"/>
    </row>
    <row r="25" spans="1:13" x14ac:dyDescent="0.25">
      <c r="D25" s="2"/>
      <c r="E25" s="2"/>
      <c r="F25" s="2"/>
      <c r="G25" s="1"/>
    </row>
    <row r="26" spans="1:13" x14ac:dyDescent="0.25">
      <c r="D26" s="2"/>
      <c r="E26" s="2"/>
      <c r="F26" s="2"/>
      <c r="G26" s="1"/>
    </row>
    <row r="27" spans="1:13" x14ac:dyDescent="0.25">
      <c r="D27" s="2"/>
      <c r="E27" s="2"/>
      <c r="F27" s="2"/>
      <c r="G27" s="1"/>
    </row>
    <row r="28" spans="1:13" x14ac:dyDescent="0.25">
      <c r="D28" s="2"/>
      <c r="E28" s="2"/>
      <c r="F28" s="2"/>
      <c r="G28" s="1"/>
    </row>
    <row r="29" spans="1:13" x14ac:dyDescent="0.25">
      <c r="A29" s="1" t="s">
        <v>10</v>
      </c>
      <c r="B29" s="2" t="s">
        <v>17</v>
      </c>
      <c r="C29" s="2" t="s">
        <v>18</v>
      </c>
      <c r="D29" s="2" t="s">
        <v>20</v>
      </c>
      <c r="E29" s="2" t="s">
        <v>21</v>
      </c>
      <c r="F29" s="2" t="s">
        <v>22</v>
      </c>
      <c r="G29" s="2" t="s">
        <v>28</v>
      </c>
      <c r="K29" s="4"/>
      <c r="M29" s="4"/>
    </row>
    <row r="30" spans="1:13" x14ac:dyDescent="0.25">
      <c r="A30" s="3" t="s">
        <v>0</v>
      </c>
      <c r="B30" s="5">
        <v>0.6</v>
      </c>
      <c r="C30" s="5">
        <v>-2.5000000000000001E-2</v>
      </c>
      <c r="D30" s="7">
        <f>C30-0</f>
        <v>-2.5000000000000001E-2</v>
      </c>
      <c r="E30" s="7">
        <f>ABS(D30)</f>
        <v>2.5000000000000001E-2</v>
      </c>
      <c r="F30" s="2">
        <f>VLOOKUP(E30,$J$30:$K$39,2,)</f>
        <v>5</v>
      </c>
      <c r="G30" s="2" t="s">
        <v>23</v>
      </c>
      <c r="H30" s="3">
        <f>SUM(F30,F31,F33,F36:F39)</f>
        <v>42.5</v>
      </c>
      <c r="I30" s="3" t="s">
        <v>25</v>
      </c>
      <c r="J30" s="6">
        <v>4.0000000000000001E-3</v>
      </c>
      <c r="K30" s="4">
        <v>1</v>
      </c>
      <c r="M30" s="4"/>
    </row>
    <row r="31" spans="1:13" x14ac:dyDescent="0.25">
      <c r="A31" s="3" t="s">
        <v>1</v>
      </c>
      <c r="B31" s="5">
        <v>6.8000000000000005E-2</v>
      </c>
      <c r="C31" s="5">
        <v>-0.23</v>
      </c>
      <c r="D31" s="7">
        <f t="shared" ref="D31:D39" si="2">C31-0</f>
        <v>-0.23</v>
      </c>
      <c r="E31" s="7">
        <f t="shared" ref="E31:E39" si="3">ABS(D31)</f>
        <v>0.23</v>
      </c>
      <c r="F31" s="2">
        <f t="shared" ref="F31:F39" si="4">VLOOKUP(E31,$J$30:$K$39,2,)</f>
        <v>10</v>
      </c>
      <c r="G31" s="2" t="s">
        <v>23</v>
      </c>
      <c r="H31" s="3">
        <f>SUM(F32,F34,F35)</f>
        <v>12.5</v>
      </c>
      <c r="I31" s="3" t="s">
        <v>26</v>
      </c>
      <c r="J31" s="6">
        <v>8.0000000000000002E-3</v>
      </c>
      <c r="K31" s="4">
        <v>2</v>
      </c>
      <c r="M31" s="4"/>
    </row>
    <row r="32" spans="1:13" x14ac:dyDescent="0.25">
      <c r="A32" s="3" t="s">
        <v>2</v>
      </c>
      <c r="B32" s="5">
        <v>2.5000000000000001E-2</v>
      </c>
      <c r="C32" s="5">
        <v>4.0000000000000001E-3</v>
      </c>
      <c r="D32" s="7">
        <f t="shared" si="2"/>
        <v>4.0000000000000001E-3</v>
      </c>
      <c r="E32" s="7">
        <f t="shared" si="3"/>
        <v>4.0000000000000001E-3</v>
      </c>
      <c r="F32" s="2">
        <f t="shared" si="4"/>
        <v>1</v>
      </c>
      <c r="G32" s="2" t="s">
        <v>24</v>
      </c>
      <c r="J32" s="6">
        <v>1.4999999999999999E-2</v>
      </c>
      <c r="K32" s="4">
        <v>3</v>
      </c>
      <c r="M32" s="4"/>
    </row>
    <row r="33" spans="1:13" x14ac:dyDescent="0.25">
      <c r="A33" s="3" t="s">
        <v>3</v>
      </c>
      <c r="B33" s="5">
        <v>7.8E-2</v>
      </c>
      <c r="C33" s="5">
        <v>-8.0000000000000002E-3</v>
      </c>
      <c r="D33" s="7">
        <f t="shared" si="2"/>
        <v>-8.0000000000000002E-3</v>
      </c>
      <c r="E33" s="7">
        <f t="shared" si="3"/>
        <v>8.0000000000000002E-3</v>
      </c>
      <c r="F33" s="2">
        <f t="shared" si="4"/>
        <v>2</v>
      </c>
      <c r="G33" s="2" t="s">
        <v>23</v>
      </c>
      <c r="H33" s="3">
        <f>2*SUM(F30:F39)-(10*(10+1)/2)</f>
        <v>55</v>
      </c>
      <c r="I33" s="3" t="s">
        <v>27</v>
      </c>
      <c r="J33" s="6">
        <v>1.6E-2</v>
      </c>
      <c r="K33" s="4">
        <v>4</v>
      </c>
      <c r="M33" s="4"/>
    </row>
    <row r="34" spans="1:13" x14ac:dyDescent="0.25">
      <c r="A34" s="3" t="s">
        <v>4</v>
      </c>
      <c r="B34" s="5">
        <v>-2.1999999999999999E-2</v>
      </c>
      <c r="C34" s="5">
        <v>6.0999999999999999E-2</v>
      </c>
      <c r="D34" s="7">
        <f t="shared" si="2"/>
        <v>6.0999999999999999E-2</v>
      </c>
      <c r="E34" s="7">
        <f t="shared" si="3"/>
        <v>6.0999999999999999E-2</v>
      </c>
      <c r="F34" s="2">
        <f t="shared" si="4"/>
        <v>8.5</v>
      </c>
      <c r="G34" s="2" t="s">
        <v>24</v>
      </c>
      <c r="J34" s="6">
        <v>2.5000000000000001E-2</v>
      </c>
      <c r="K34" s="4">
        <v>5</v>
      </c>
      <c r="M34" s="4"/>
    </row>
    <row r="35" spans="1:13" x14ac:dyDescent="0.25">
      <c r="A35" s="3" t="s">
        <v>5</v>
      </c>
      <c r="B35" s="5">
        <v>7.1999999999999995E-2</v>
      </c>
      <c r="C35" s="5">
        <v>1.4999999999999999E-2</v>
      </c>
      <c r="D35" s="7">
        <f t="shared" si="2"/>
        <v>1.4999999999999999E-2</v>
      </c>
      <c r="E35" s="7">
        <f t="shared" si="3"/>
        <v>1.4999999999999999E-2</v>
      </c>
      <c r="F35" s="2">
        <f t="shared" si="4"/>
        <v>3</v>
      </c>
      <c r="G35" s="2" t="s">
        <v>24</v>
      </c>
      <c r="J35" s="6">
        <v>3.5000000000000003E-2</v>
      </c>
      <c r="K35" s="4">
        <v>6</v>
      </c>
      <c r="M35" s="4"/>
    </row>
    <row r="36" spans="1:13" x14ac:dyDescent="0.25">
      <c r="A36" s="3" t="s">
        <v>6</v>
      </c>
      <c r="B36" s="5">
        <v>4.1000000000000002E-2</v>
      </c>
      <c r="C36" s="5">
        <v>-3.5000000000000003E-2</v>
      </c>
      <c r="D36" s="7">
        <f t="shared" si="2"/>
        <v>-3.5000000000000003E-2</v>
      </c>
      <c r="E36" s="7">
        <f t="shared" si="3"/>
        <v>3.5000000000000003E-2</v>
      </c>
      <c r="F36" s="2">
        <f t="shared" si="4"/>
        <v>6</v>
      </c>
      <c r="G36" s="2" t="s">
        <v>23</v>
      </c>
      <c r="J36" s="6">
        <v>5.0999999999999997E-2</v>
      </c>
      <c r="K36" s="4">
        <v>7</v>
      </c>
      <c r="M36" s="4"/>
    </row>
    <row r="37" spans="1:13" x14ac:dyDescent="0.25">
      <c r="A37" s="3" t="s">
        <v>7</v>
      </c>
      <c r="B37" s="5">
        <v>0.86</v>
      </c>
      <c r="C37" s="5">
        <v>-1.6E-2</v>
      </c>
      <c r="D37" s="7">
        <f t="shared" si="2"/>
        <v>-1.6E-2</v>
      </c>
      <c r="E37" s="7">
        <f t="shared" si="3"/>
        <v>1.6E-2</v>
      </c>
      <c r="F37" s="2">
        <f t="shared" si="4"/>
        <v>4</v>
      </c>
      <c r="G37" s="2" t="s">
        <v>23</v>
      </c>
      <c r="J37" s="6">
        <v>6.0999999999999999E-2</v>
      </c>
      <c r="K37" s="4">
        <v>8.5</v>
      </c>
      <c r="M37" s="4"/>
    </row>
    <row r="38" spans="1:13" x14ac:dyDescent="0.25">
      <c r="A38" s="3" t="s">
        <v>8</v>
      </c>
      <c r="B38" s="5">
        <v>1.2E-2</v>
      </c>
      <c r="C38" s="5">
        <v>-6.0999999999999999E-2</v>
      </c>
      <c r="D38" s="7">
        <f t="shared" si="2"/>
        <v>-6.0999999999999999E-2</v>
      </c>
      <c r="E38" s="7">
        <f t="shared" si="3"/>
        <v>6.0999999999999999E-2</v>
      </c>
      <c r="F38" s="2">
        <f t="shared" si="4"/>
        <v>8.5</v>
      </c>
      <c r="G38" s="2" t="s">
        <v>23</v>
      </c>
      <c r="J38" s="6">
        <v>6.0999999999999999E-2</v>
      </c>
      <c r="K38" s="4">
        <v>8.5</v>
      </c>
      <c r="M38" s="4"/>
    </row>
    <row r="39" spans="1:13" x14ac:dyDescent="0.25">
      <c r="A39" s="3" t="s">
        <v>9</v>
      </c>
      <c r="B39" s="5">
        <v>3.5000000000000003E-2</v>
      </c>
      <c r="C39" s="5">
        <v>-5.0999999999999997E-2</v>
      </c>
      <c r="D39" s="7">
        <f t="shared" si="2"/>
        <v>-5.0999999999999997E-2</v>
      </c>
      <c r="E39" s="7">
        <f t="shared" si="3"/>
        <v>5.0999999999999997E-2</v>
      </c>
      <c r="F39" s="2">
        <f t="shared" si="4"/>
        <v>7</v>
      </c>
      <c r="G39" s="2" t="s">
        <v>23</v>
      </c>
      <c r="J39" s="6">
        <v>0.23</v>
      </c>
      <c r="K39" s="4">
        <v>10</v>
      </c>
    </row>
    <row r="40" spans="1:13" x14ac:dyDescent="0.25">
      <c r="D40" s="2"/>
      <c r="E40" s="2"/>
      <c r="F40" s="2"/>
      <c r="G40" s="1"/>
    </row>
    <row r="41" spans="1:13" x14ac:dyDescent="0.25">
      <c r="B41" s="5">
        <f>MEDIAN(B30:B39)</f>
        <v>5.4500000000000007E-2</v>
      </c>
      <c r="C41" s="5">
        <f>MEDIAN(C30:C39)</f>
        <v>-2.0500000000000001E-2</v>
      </c>
      <c r="D41" s="2"/>
      <c r="E41" s="2"/>
      <c r="F41" s="2"/>
      <c r="G41" s="1"/>
    </row>
    <row r="42" spans="1:13" x14ac:dyDescent="0.25">
      <c r="D42" s="2"/>
      <c r="E42" s="2"/>
      <c r="F42" s="2"/>
      <c r="G42" s="1"/>
    </row>
    <row r="43" spans="1:13" x14ac:dyDescent="0.25">
      <c r="A43" s="1" t="s">
        <v>10</v>
      </c>
      <c r="B43" s="2" t="s">
        <v>17</v>
      </c>
      <c r="C43" s="2" t="s">
        <v>18</v>
      </c>
      <c r="D43" s="2" t="s">
        <v>20</v>
      </c>
      <c r="E43" s="2" t="s">
        <v>21</v>
      </c>
      <c r="F43" s="2" t="s">
        <v>22</v>
      </c>
      <c r="G43" s="2" t="s">
        <v>30</v>
      </c>
    </row>
    <row r="44" spans="1:13" x14ac:dyDescent="0.25">
      <c r="A44" s="3" t="s">
        <v>0</v>
      </c>
      <c r="B44" s="5">
        <v>0.6</v>
      </c>
      <c r="C44" s="5">
        <v>-2.5000000000000001E-2</v>
      </c>
      <c r="D44" s="5">
        <f>C44-$B$55</f>
        <v>-7.9500000000000015E-2</v>
      </c>
      <c r="E44" s="5">
        <f>ABS(D44)</f>
        <v>7.9500000000000015E-2</v>
      </c>
      <c r="F44" s="4">
        <f>VLOOKUP(E44,$J$44:$K$53,2,)</f>
        <v>6</v>
      </c>
      <c r="G44" s="4" t="s">
        <v>23</v>
      </c>
      <c r="H44" s="3">
        <f>SUM(F44:F47,F49:F53)</f>
        <v>54</v>
      </c>
      <c r="I44" s="3" t="s">
        <v>25</v>
      </c>
      <c r="J44" s="3">
        <v>6.4999999999999919E-3</v>
      </c>
      <c r="K44" s="4">
        <v>1</v>
      </c>
    </row>
    <row r="45" spans="1:13" x14ac:dyDescent="0.25">
      <c r="A45" s="3" t="s">
        <v>1</v>
      </c>
      <c r="B45" s="5">
        <v>6.8000000000000005E-2</v>
      </c>
      <c r="C45" s="5">
        <v>-0.23</v>
      </c>
      <c r="D45" s="5">
        <f t="shared" ref="D45:D53" si="5">C45-$B$55</f>
        <v>-0.28450000000000003</v>
      </c>
      <c r="E45" s="5">
        <f t="shared" ref="E45:E53" si="6">ABS(D45)</f>
        <v>0.28450000000000003</v>
      </c>
      <c r="F45" s="4">
        <f t="shared" ref="F45:F53" si="7">VLOOKUP(E45,$J$44:$K$53,2,)</f>
        <v>10</v>
      </c>
      <c r="G45" s="4" t="s">
        <v>23</v>
      </c>
      <c r="H45" s="3">
        <f>F48</f>
        <v>1</v>
      </c>
      <c r="I45" s="3" t="s">
        <v>26</v>
      </c>
      <c r="J45" s="3">
        <v>3.9500000000000007E-2</v>
      </c>
      <c r="K45" s="4">
        <v>2</v>
      </c>
    </row>
    <row r="46" spans="1:13" x14ac:dyDescent="0.25">
      <c r="A46" s="3" t="s">
        <v>2</v>
      </c>
      <c r="B46" s="5">
        <v>2.5000000000000001E-2</v>
      </c>
      <c r="C46" s="5">
        <v>4.0000000000000001E-3</v>
      </c>
      <c r="D46" s="5">
        <f t="shared" si="5"/>
        <v>-5.0500000000000003E-2</v>
      </c>
      <c r="E46" s="5">
        <f t="shared" si="6"/>
        <v>5.0500000000000003E-2</v>
      </c>
      <c r="F46" s="4">
        <f t="shared" si="7"/>
        <v>3</v>
      </c>
      <c r="G46" s="4" t="s">
        <v>23</v>
      </c>
      <c r="J46" s="3">
        <v>5.0500000000000003E-2</v>
      </c>
      <c r="K46" s="4">
        <v>3</v>
      </c>
    </row>
    <row r="47" spans="1:13" x14ac:dyDescent="0.25">
      <c r="A47" s="3" t="s">
        <v>3</v>
      </c>
      <c r="B47" s="5">
        <v>7.8E-2</v>
      </c>
      <c r="C47" s="5">
        <v>-8.0000000000000002E-3</v>
      </c>
      <c r="D47" s="5">
        <f t="shared" si="5"/>
        <v>-6.25E-2</v>
      </c>
      <c r="E47" s="5">
        <f t="shared" si="6"/>
        <v>6.25E-2</v>
      </c>
      <c r="F47" s="4">
        <f t="shared" si="7"/>
        <v>4</v>
      </c>
      <c r="G47" s="4" t="s">
        <v>23</v>
      </c>
      <c r="H47" s="3">
        <f>2*SUM(F44:F53)-(10*(10+1)/2)</f>
        <v>55</v>
      </c>
      <c r="I47" s="3" t="s">
        <v>27</v>
      </c>
      <c r="J47" s="3">
        <v>6.25E-2</v>
      </c>
      <c r="K47" s="4">
        <v>4</v>
      </c>
    </row>
    <row r="48" spans="1:13" x14ac:dyDescent="0.25">
      <c r="A48" s="3" t="s">
        <v>4</v>
      </c>
      <c r="B48" s="5">
        <v>-2.1999999999999999E-2</v>
      </c>
      <c r="C48" s="5">
        <v>6.0999999999999999E-2</v>
      </c>
      <c r="D48" s="5">
        <f t="shared" si="5"/>
        <v>6.4999999999999919E-3</v>
      </c>
      <c r="E48" s="5">
        <f t="shared" si="6"/>
        <v>6.4999999999999919E-3</v>
      </c>
      <c r="F48" s="4">
        <f t="shared" si="7"/>
        <v>1</v>
      </c>
      <c r="G48" s="4" t="s">
        <v>24</v>
      </c>
      <c r="J48" s="3">
        <v>7.0500000000000007E-2</v>
      </c>
      <c r="K48" s="4">
        <v>5</v>
      </c>
    </row>
    <row r="49" spans="1:11" x14ac:dyDescent="0.25">
      <c r="A49" s="3" t="s">
        <v>5</v>
      </c>
      <c r="B49" s="5">
        <v>7.1999999999999995E-2</v>
      </c>
      <c r="C49" s="5">
        <v>1.4999999999999999E-2</v>
      </c>
      <c r="D49" s="5">
        <f t="shared" si="5"/>
        <v>-3.9500000000000007E-2</v>
      </c>
      <c r="E49" s="5">
        <f t="shared" si="6"/>
        <v>3.9500000000000007E-2</v>
      </c>
      <c r="F49" s="4">
        <f t="shared" si="7"/>
        <v>2</v>
      </c>
      <c r="G49" s="4" t="s">
        <v>23</v>
      </c>
      <c r="J49" s="3">
        <v>7.9500000000000015E-2</v>
      </c>
      <c r="K49" s="4">
        <v>6</v>
      </c>
    </row>
    <row r="50" spans="1:11" x14ac:dyDescent="0.25">
      <c r="A50" s="3" t="s">
        <v>6</v>
      </c>
      <c r="B50" s="5">
        <v>4.1000000000000002E-2</v>
      </c>
      <c r="C50" s="5">
        <v>-3.5000000000000003E-2</v>
      </c>
      <c r="D50" s="5">
        <f t="shared" si="5"/>
        <v>-8.950000000000001E-2</v>
      </c>
      <c r="E50" s="5">
        <f t="shared" si="6"/>
        <v>8.950000000000001E-2</v>
      </c>
      <c r="F50" s="4">
        <f t="shared" si="7"/>
        <v>7</v>
      </c>
      <c r="G50" s="4" t="s">
        <v>23</v>
      </c>
      <c r="J50" s="3">
        <v>8.950000000000001E-2</v>
      </c>
      <c r="K50" s="4">
        <v>7</v>
      </c>
    </row>
    <row r="51" spans="1:11" x14ac:dyDescent="0.25">
      <c r="A51" s="3" t="s">
        <v>7</v>
      </c>
      <c r="B51" s="5">
        <v>0.86</v>
      </c>
      <c r="C51" s="5">
        <v>-1.6E-2</v>
      </c>
      <c r="D51" s="5">
        <f t="shared" si="5"/>
        <v>-7.0500000000000007E-2</v>
      </c>
      <c r="E51" s="5">
        <f t="shared" si="6"/>
        <v>7.0500000000000007E-2</v>
      </c>
      <c r="F51" s="4">
        <f t="shared" si="7"/>
        <v>5</v>
      </c>
      <c r="G51" s="4" t="s">
        <v>23</v>
      </c>
      <c r="J51" s="3">
        <v>0.10550000000000001</v>
      </c>
      <c r="K51" s="4">
        <v>8</v>
      </c>
    </row>
    <row r="52" spans="1:11" x14ac:dyDescent="0.25">
      <c r="A52" s="3" t="s">
        <v>8</v>
      </c>
      <c r="B52" s="5">
        <v>1.2E-2</v>
      </c>
      <c r="C52" s="5">
        <v>-6.0999999999999999E-2</v>
      </c>
      <c r="D52" s="5">
        <f t="shared" si="5"/>
        <v>-0.11550000000000001</v>
      </c>
      <c r="E52" s="5">
        <f t="shared" si="6"/>
        <v>0.11550000000000001</v>
      </c>
      <c r="F52" s="4">
        <f t="shared" si="7"/>
        <v>9</v>
      </c>
      <c r="G52" s="4" t="s">
        <v>23</v>
      </c>
      <c r="J52" s="3">
        <v>0.11550000000000001</v>
      </c>
      <c r="K52" s="4">
        <v>9</v>
      </c>
    </row>
    <row r="53" spans="1:11" x14ac:dyDescent="0.25">
      <c r="A53" s="3" t="s">
        <v>9</v>
      </c>
      <c r="B53" s="5">
        <v>3.5000000000000003E-2</v>
      </c>
      <c r="C53" s="5">
        <v>-5.0999999999999997E-2</v>
      </c>
      <c r="D53" s="5">
        <f t="shared" si="5"/>
        <v>-0.10550000000000001</v>
      </c>
      <c r="E53" s="5">
        <f t="shared" si="6"/>
        <v>0.10550000000000001</v>
      </c>
      <c r="F53" s="4">
        <f t="shared" si="7"/>
        <v>8</v>
      </c>
      <c r="G53" s="4" t="s">
        <v>23</v>
      </c>
      <c r="J53" s="3">
        <v>0.28450000000000003</v>
      </c>
      <c r="K53" s="4">
        <v>10</v>
      </c>
    </row>
    <row r="55" spans="1:11" x14ac:dyDescent="0.25">
      <c r="A55" s="3" t="s">
        <v>29</v>
      </c>
      <c r="B55" s="5">
        <f>MEDIAN(B44:B53)</f>
        <v>5.4500000000000007E-2</v>
      </c>
      <c r="C55" s="5">
        <f>MEDIAN(C44:C53)</f>
        <v>-2.0500000000000001E-2</v>
      </c>
    </row>
    <row r="58" spans="1:11" x14ac:dyDescent="0.25">
      <c r="A58" s="1" t="s">
        <v>10</v>
      </c>
      <c r="B58" s="2" t="s">
        <v>17</v>
      </c>
      <c r="C58" s="2" t="s">
        <v>18</v>
      </c>
      <c r="D58" s="4" t="s">
        <v>31</v>
      </c>
      <c r="E58" s="4" t="s">
        <v>21</v>
      </c>
      <c r="F58" s="4" t="s">
        <v>22</v>
      </c>
      <c r="G58" s="4" t="s">
        <v>30</v>
      </c>
    </row>
    <row r="59" spans="1:11" x14ac:dyDescent="0.25">
      <c r="A59" s="3" t="s">
        <v>0</v>
      </c>
      <c r="B59" s="5">
        <v>0.6</v>
      </c>
      <c r="C59" s="5">
        <v>-2.5000000000000001E-2</v>
      </c>
      <c r="D59" s="5">
        <f>B59-C59</f>
        <v>0.625</v>
      </c>
      <c r="E59" s="5">
        <f>ABS(D59)</f>
        <v>0.625</v>
      </c>
      <c r="F59" s="4">
        <f>VLOOKUP(E59,$J$59:$K$68,2,FALSE)</f>
        <v>9</v>
      </c>
      <c r="G59" s="4">
        <f>IF(D59&gt;0,1,0)</f>
        <v>1</v>
      </c>
      <c r="H59" s="3">
        <f>SUM(F59:F62,F64:F68)</f>
        <v>50</v>
      </c>
      <c r="I59" s="3" t="s">
        <v>26</v>
      </c>
      <c r="J59" s="3">
        <v>2.1000000000000001E-2</v>
      </c>
      <c r="K59" s="4">
        <v>1</v>
      </c>
    </row>
    <row r="60" spans="1:11" x14ac:dyDescent="0.25">
      <c r="A60" s="3" t="s">
        <v>1</v>
      </c>
      <c r="B60" s="5">
        <v>6.8000000000000005E-2</v>
      </c>
      <c r="C60" s="5">
        <v>-0.23</v>
      </c>
      <c r="D60" s="5">
        <f t="shared" ref="D60:D68" si="8">B60-C60</f>
        <v>0.29800000000000004</v>
      </c>
      <c r="E60" s="5">
        <f t="shared" ref="E60:E68" si="9">ABS(D60)</f>
        <v>0.29800000000000004</v>
      </c>
      <c r="F60" s="4">
        <f t="shared" ref="F60:F68" si="10">VLOOKUP(E60,$J$59:$K$68,2,FALSE)</f>
        <v>8</v>
      </c>
      <c r="G60" s="4">
        <f t="shared" ref="G60:G68" si="11">IF(D60&gt;0,1,0)</f>
        <v>1</v>
      </c>
      <c r="H60" s="3">
        <f>SUM(F63)</f>
        <v>5</v>
      </c>
      <c r="I60" s="3" t="s">
        <v>25</v>
      </c>
      <c r="J60" s="3">
        <v>5.6999999999999995E-2</v>
      </c>
      <c r="K60" s="4">
        <v>2</v>
      </c>
    </row>
    <row r="61" spans="1:11" x14ac:dyDescent="0.25">
      <c r="A61" s="3" t="s">
        <v>2</v>
      </c>
      <c r="B61" s="5">
        <v>2.5000000000000001E-2</v>
      </c>
      <c r="C61" s="5">
        <v>4.0000000000000001E-3</v>
      </c>
      <c r="D61" s="5">
        <f t="shared" si="8"/>
        <v>2.1000000000000001E-2</v>
      </c>
      <c r="E61" s="5">
        <f t="shared" si="9"/>
        <v>2.1000000000000001E-2</v>
      </c>
      <c r="F61" s="4">
        <f t="shared" si="10"/>
        <v>1</v>
      </c>
      <c r="G61" s="4">
        <f t="shared" si="11"/>
        <v>1</v>
      </c>
      <c r="J61" s="3">
        <v>7.2999999999999995E-2</v>
      </c>
      <c r="K61" s="4">
        <v>3</v>
      </c>
    </row>
    <row r="62" spans="1:11" x14ac:dyDescent="0.25">
      <c r="A62" s="3" t="s">
        <v>3</v>
      </c>
      <c r="B62" s="5">
        <v>7.8E-2</v>
      </c>
      <c r="C62" s="5">
        <v>-8.0000000000000002E-3</v>
      </c>
      <c r="D62" s="5">
        <f t="shared" si="8"/>
        <v>8.5999999999999993E-2</v>
      </c>
      <c r="E62" s="5">
        <f t="shared" si="9"/>
        <v>8.5999999999999993E-2</v>
      </c>
      <c r="F62" s="4">
        <f t="shared" si="10"/>
        <v>6.5</v>
      </c>
      <c r="G62" s="4">
        <f t="shared" si="11"/>
        <v>1</v>
      </c>
      <c r="H62" s="3">
        <f>2*SUM(F59:F68)-(10*(10+1)/2)</f>
        <v>55</v>
      </c>
      <c r="I62" s="3" t="s">
        <v>27</v>
      </c>
      <c r="J62" s="3">
        <v>7.6000000000000012E-2</v>
      </c>
      <c r="K62" s="4">
        <v>4</v>
      </c>
    </row>
    <row r="63" spans="1:11" x14ac:dyDescent="0.25">
      <c r="A63" s="3" t="s">
        <v>4</v>
      </c>
      <c r="B63" s="5">
        <v>-2.1999999999999999E-2</v>
      </c>
      <c r="C63" s="5">
        <v>6.0999999999999999E-2</v>
      </c>
      <c r="D63" s="5">
        <f t="shared" si="8"/>
        <v>-8.299999999999999E-2</v>
      </c>
      <c r="E63" s="5">
        <f t="shared" si="9"/>
        <v>8.299999999999999E-2</v>
      </c>
      <c r="F63" s="4">
        <f t="shared" si="10"/>
        <v>5</v>
      </c>
      <c r="G63" s="4">
        <f t="shared" si="11"/>
        <v>0</v>
      </c>
      <c r="J63" s="3">
        <v>8.299999999999999E-2</v>
      </c>
      <c r="K63" s="4">
        <v>5</v>
      </c>
    </row>
    <row r="64" spans="1:11" x14ac:dyDescent="0.25">
      <c r="A64" s="3" t="s">
        <v>5</v>
      </c>
      <c r="B64" s="5">
        <v>7.1999999999999995E-2</v>
      </c>
      <c r="C64" s="5">
        <v>1.4999999999999999E-2</v>
      </c>
      <c r="D64" s="5">
        <f t="shared" si="8"/>
        <v>5.6999999999999995E-2</v>
      </c>
      <c r="E64" s="5">
        <f t="shared" si="9"/>
        <v>5.6999999999999995E-2</v>
      </c>
      <c r="F64" s="4">
        <f t="shared" si="10"/>
        <v>2</v>
      </c>
      <c r="G64" s="4">
        <f t="shared" si="11"/>
        <v>1</v>
      </c>
      <c r="J64" s="3">
        <v>8.5999999999999993E-2</v>
      </c>
      <c r="K64" s="4">
        <v>6.5</v>
      </c>
    </row>
    <row r="65" spans="1:11" x14ac:dyDescent="0.25">
      <c r="A65" s="3" t="s">
        <v>6</v>
      </c>
      <c r="B65" s="5">
        <v>4.1000000000000002E-2</v>
      </c>
      <c r="C65" s="5">
        <v>-3.5000000000000003E-2</v>
      </c>
      <c r="D65" s="5">
        <f t="shared" si="8"/>
        <v>7.6000000000000012E-2</v>
      </c>
      <c r="E65" s="5">
        <f t="shared" si="9"/>
        <v>7.6000000000000012E-2</v>
      </c>
      <c r="F65" s="4">
        <f t="shared" si="10"/>
        <v>4</v>
      </c>
      <c r="G65" s="4">
        <f t="shared" si="11"/>
        <v>1</v>
      </c>
      <c r="J65" s="3">
        <v>8.5999999999999993E-2</v>
      </c>
      <c r="K65" s="4">
        <v>6.5</v>
      </c>
    </row>
    <row r="66" spans="1:11" x14ac:dyDescent="0.25">
      <c r="A66" s="3" t="s">
        <v>7</v>
      </c>
      <c r="B66" s="5">
        <v>0.86</v>
      </c>
      <c r="C66" s="5">
        <v>-1.6E-2</v>
      </c>
      <c r="D66" s="5">
        <f t="shared" si="8"/>
        <v>0.876</v>
      </c>
      <c r="E66" s="5">
        <f t="shared" si="9"/>
        <v>0.876</v>
      </c>
      <c r="F66" s="4">
        <f t="shared" si="10"/>
        <v>10</v>
      </c>
      <c r="G66" s="4">
        <f t="shared" si="11"/>
        <v>1</v>
      </c>
      <c r="J66" s="3">
        <v>0.29800000000000004</v>
      </c>
      <c r="K66" s="4">
        <v>8</v>
      </c>
    </row>
    <row r="67" spans="1:11" x14ac:dyDescent="0.25">
      <c r="A67" s="3" t="s">
        <v>8</v>
      </c>
      <c r="B67" s="5">
        <v>1.2E-2</v>
      </c>
      <c r="C67" s="5">
        <v>-6.0999999999999999E-2</v>
      </c>
      <c r="D67" s="5">
        <f t="shared" si="8"/>
        <v>7.2999999999999995E-2</v>
      </c>
      <c r="E67" s="5">
        <f t="shared" si="9"/>
        <v>7.2999999999999995E-2</v>
      </c>
      <c r="F67" s="4">
        <f t="shared" si="10"/>
        <v>3</v>
      </c>
      <c r="G67" s="4">
        <f t="shared" si="11"/>
        <v>1</v>
      </c>
      <c r="J67" s="3">
        <v>0.625</v>
      </c>
      <c r="K67" s="4">
        <v>9</v>
      </c>
    </row>
    <row r="68" spans="1:11" x14ac:dyDescent="0.25">
      <c r="A68" s="3" t="s">
        <v>9</v>
      </c>
      <c r="B68" s="5">
        <v>3.5000000000000003E-2</v>
      </c>
      <c r="C68" s="5">
        <v>-5.0999999999999997E-2</v>
      </c>
      <c r="D68" s="5">
        <f t="shared" si="8"/>
        <v>8.5999999999999993E-2</v>
      </c>
      <c r="E68" s="5">
        <f t="shared" si="9"/>
        <v>8.5999999999999993E-2</v>
      </c>
      <c r="F68" s="4">
        <f t="shared" si="10"/>
        <v>6.5</v>
      </c>
      <c r="G68" s="4">
        <f t="shared" si="11"/>
        <v>1</v>
      </c>
      <c r="J68" s="3">
        <v>0.876</v>
      </c>
      <c r="K68" s="4">
        <v>10</v>
      </c>
    </row>
    <row r="70" spans="1:11" x14ac:dyDescent="0.25">
      <c r="B70" s="5">
        <f>MEDIAN(B59:B68)</f>
        <v>5.4500000000000007E-2</v>
      </c>
      <c r="C70" s="5">
        <f>MEDIAN(C59:C68)</f>
        <v>-2.0500000000000001E-2</v>
      </c>
      <c r="I70" s="3">
        <f>2^10</f>
        <v>1024</v>
      </c>
    </row>
  </sheetData>
  <sortState ref="J59:J68">
    <sortCondition ref="J5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acuyugan</dc:creator>
  <cp:lastModifiedBy>acuyugan</cp:lastModifiedBy>
  <dcterms:created xsi:type="dcterms:W3CDTF">2015-11-26T08:46:29Z</dcterms:created>
  <dcterms:modified xsi:type="dcterms:W3CDTF">2015-12-01T20:39:55Z</dcterms:modified>
</cp:coreProperties>
</file>